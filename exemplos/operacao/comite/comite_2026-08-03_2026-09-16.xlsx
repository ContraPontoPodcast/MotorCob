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" sheetId="2" state="visible" r:id="rId2"/>
    <sheet name="Premissas" sheetId="3" state="visible" r:id="rId3"/>
    <sheet name="Real x Previsto" sheetId="4" state="visible" r:id="rId4"/>
    <sheet name="KPIs safra-cluster" sheetId="5" state="visible" r:id="rId5"/>
    <sheet name="Migração de estados" sheetId="6" state="visible" r:id="rId6"/>
    <sheet name="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R$ #,##0.00;(R$ #,##0.00);&quot;-&quot;"/>
    <numFmt numFmtId="166" formatCode="0.00&quot;x&quot;;(0.00&quot;x&quot;);&quot;-&quot;"/>
    <numFmt numFmtId="167" formatCode="#,##0.0"/>
    <numFmt numFmtId="168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2E5A88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166" fontId="0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8" fontId="0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0" borderId="1" pivotButton="0" quotePrefix="0" xfId="0"/>
    <xf numFmtId="168" fontId="5" fillId="3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6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MotorCob</author>
  </authors>
  <commentList>
    <comment ref="C4" authorId="0" shapeId="0">
      <text>
        <t>WhatsApp 15%, RCS 7%, Discador 3%, SMS 1,5%: playbook. Agente virtual e e-mail: premissas a calibrar com o realizado (aba Benchmarks).</t>
      </text>
    </comment>
    <comment ref="D4" authorId="0" shapeId="0">
      <text>
        <t>Custo médio por tentativa observado no período (retornos dos fornecedores).</t>
      </text>
    </comment>
    <comment ref="C11" authorId="0" shapeId="0">
      <text>
        <t>Premissa: calibrar com o realizado.</t>
      </text>
    </comment>
    <comment ref="C12" authorId="0" shapeId="0">
      <text>
        <t>Média do valor acordado no período.</t>
      </text>
    </comment>
    <comment ref="C13" authorId="0" shapeId="0">
      <text>
        <t>Premissa: calibrar com a aba KPIs.</t>
      </text>
    </comment>
    <comment ref="C14" authorId="0" shapeId="0">
      <text>
        <t>Comissão/honorários da assessoria. Premissa: confirmar no contrato de cada credor.</t>
      </text>
    </comment>
    <comment ref="C15" authorId="0" shapeId="0">
      <text>
        <t>Critério do playbook.</t>
      </text>
    </comment>
    <comment ref="C16" authorId="0" shapeId="0">
      <text>
        <t>Critério do playbook.</t>
      </text>
    </comment>
  </commentList>
</comments>
</file>

<file path=xl/comments/comment2.xml><?xml version="1.0" encoding="utf-8"?>
<comments xmlns="http://schemas.openxmlformats.org/spreadsheetml/2006/main">
  <authors>
    <author>MotorCob</author>
  </authors>
  <commentList>
    <comment ref="E3" authorId="0" shapeId="0">
      <text>
        <t>Pré-preenchido com o volume realizado. Para orçar o próximo mês, substitua pelo volume planejado.</t>
      </text>
    </comment>
    <comment ref="U3" authorId="0" shapeId="0">
      <text>
        <t>Custo variável das tentativas (fornecedores). Custos fixos (operadores, licenças) não estão incluídos.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Comitê de orçamento — Real x Previsto</t>
        </is>
      </c>
    </row>
    <row r="3">
      <c r="A3" s="2" t="inlineStr">
        <is>
          <t>Período: 03/08/2026 a 16/09/2026. Fonte do realizado: MotorCob (trilha, retornos dos fornecedores e parcelas do sistema de acordos).</t>
        </is>
      </c>
    </row>
    <row r="4">
      <c r="A4" s="2" t="inlineStr"/>
    </row>
    <row r="5">
      <c r="A5" s="3" t="inlineStr">
        <is>
          <t>Como ler</t>
        </is>
      </c>
    </row>
    <row r="6">
      <c r="A6" s="2" t="inlineStr">
        <is>
          <t>• Texto azul com fundo amarelo = premissa editável (aba Premissas e coluna 'Volume previsto'). Texto preto = fórmula.</t>
        </is>
      </c>
    </row>
    <row r="7">
      <c r="A7" s="2" t="inlineStr">
        <is>
          <t>• Cada linha de 'Real x Previsto' é uma ação: régua do playbook x canal. O realizado de cada tentativa é atribuído à régua em que o cliente estava no dia (pela TAG).</t>
        </is>
      </c>
    </row>
    <row r="8">
      <c r="A8" s="2" t="inlineStr">
        <is>
          <t>• Acordos são atribuídos à régua e ao canal do contato que os originou.</t>
        </is>
      </c>
    </row>
    <row r="9">
      <c r="A9" s="2" t="inlineStr">
        <is>
          <t>• Recuperação prevista = acordos previstos x ticket médio x % de parcelas pagas. Receita = recuperação x % de remuneração (comissão/honorários).</t>
        </is>
      </c>
    </row>
    <row r="10">
      <c r="A10" s="2" t="inlineStr">
        <is>
          <t>• Receita real projetada = valor acordado no período x % de parcelas pagas x % de remuneração (as parcelas futuras ainda não venceram).</t>
        </is>
      </c>
    </row>
    <row r="11">
      <c r="A11" s="2" t="inlineStr">
        <is>
          <t>• ROI realizado (caixa) = recuperado até o fim do período x % de remuneração ÷ custo — cresce conforme as parcelas vencem.</t>
        </is>
      </c>
    </row>
    <row r="12">
      <c r="A12" s="2" t="inlineStr">
        <is>
          <t>• Custo = custo variável das tentativas nos fornecedores. Custos fixos (operadores, licenças) não estão incluídos.</t>
        </is>
      </c>
    </row>
    <row r="13">
      <c r="A13" s="2" t="inlineStr">
        <is>
          <t>• Decisão (critério do playbook): ROI ≥ 1,5x aprovação direta · 1,0x–1,5x aprova com plano · &lt; 1,0x reprova ou exige justificativa.</t>
        </is>
      </c>
    </row>
    <row r="14">
      <c r="A14" s="2" t="inlineStr">
        <is>
          <t>• 'Volume previsto' vem pré-preenchido com o volume realizado: assim o previsto mostra o que o benchmark esperava daquele volume. Para orçar o mês seguinte, substitua pelo volume planejado.</t>
        </is>
      </c>
    </row>
    <row r="15">
      <c r="A15" s="2" t="inlineStr"/>
    </row>
    <row r="16">
      <c r="A16" s="2" t="inlineStr">
        <is>
          <t>Abas: Resumo · Premissas · Real x Previsto · KPIs safra-cluster · Migração de estados · Benchmarks (inclui sugestão de ordem de rotação — só muda por decisão do comitê).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Resumo do período</t>
        </is>
      </c>
    </row>
    <row r="3">
      <c r="A3" s="4" t="inlineStr"/>
      <c r="B3" s="4" t="inlineStr">
        <is>
          <t>Orçado (previsto)</t>
        </is>
      </c>
      <c r="C3" s="4" t="inlineStr">
        <is>
          <t>Custo real</t>
        </is>
      </c>
      <c r="D3" s="4" t="inlineStr">
        <is>
          <t>Receita prevista</t>
        </is>
      </c>
      <c r="E3" s="4" t="inlineStr">
        <is>
          <t>Receita real projetada</t>
        </is>
      </c>
      <c r="F3" s="4" t="inlineStr">
        <is>
          <t>Recuperado (caixa)</t>
        </is>
      </c>
      <c r="G3" s="4" t="inlineStr">
        <is>
          <t>ROI previsto</t>
        </is>
      </c>
      <c r="H3" s="4" t="inlineStr">
        <is>
          <t>ROI real</t>
        </is>
      </c>
      <c r="I3" s="4" t="inlineStr">
        <is>
          <t>Acordos previstos</t>
        </is>
      </c>
      <c r="J3" s="4" t="inlineStr">
        <is>
          <t>Acordos reais</t>
        </is>
      </c>
    </row>
    <row r="4">
      <c r="A4" s="3" t="inlineStr">
        <is>
          <t>Voz</t>
        </is>
      </c>
      <c r="B4" s="5">
        <f>SUMIFS('Real x Previsto'!$G$4:$G$25,'Real x Previsto'!$C$4:$C$25,"Voz")</f>
        <v/>
      </c>
      <c r="C4" s="5">
        <f>SUMIFS('Real x Previsto'!$U$4:$U$25,'Real x Previsto'!$C$4:$C$25,"Voz")</f>
        <v/>
      </c>
      <c r="D4" s="5">
        <f>SUMIFS('Real x Previsto'!$P$4:$P$25,'Real x Previsto'!$C$4:$C$25,"Voz")</f>
        <v/>
      </c>
      <c r="E4" s="5">
        <f>SUMIFS('Real x Previsto'!$AB$4:$AB$25,'Real x Previsto'!$C$4:$C$25,"Voz")</f>
        <v/>
      </c>
      <c r="F4" s="5">
        <f>SUMIFS('Real x Previsto'!$Y$4:$Y$25,'Real x Previsto'!$C$4:$C$25,"Voz")</f>
        <v/>
      </c>
      <c r="G4" s="6">
        <f>IF(B4&gt;0,D4/B4,0)</f>
        <v/>
      </c>
      <c r="H4" s="6">
        <f>IF(C4&gt;0,E4/C4,0)</f>
        <v/>
      </c>
      <c r="I4" s="7">
        <f>SUMIFS('Real x Previsto'!$K$4:$K$25,'Real x Previsto'!$C$4:$C$25,"Voz")</f>
        <v/>
      </c>
      <c r="J4" s="8">
        <f>SUMIFS('Real x Previsto'!$W$4:$W$25,'Real x Previsto'!$C$4:$C$25,"Voz")</f>
        <v/>
      </c>
    </row>
    <row r="5">
      <c r="A5" s="3" t="inlineStr">
        <is>
          <t>Digital</t>
        </is>
      </c>
      <c r="B5" s="5">
        <f>SUMIFS('Real x Previsto'!$G$4:$G$25,'Real x Previsto'!$C$4:$C$25,"Digital")</f>
        <v/>
      </c>
      <c r="C5" s="5">
        <f>SUMIFS('Real x Previsto'!$U$4:$U$25,'Real x Previsto'!$C$4:$C$25,"Digital")</f>
        <v/>
      </c>
      <c r="D5" s="5">
        <f>SUMIFS('Real x Previsto'!$P$4:$P$25,'Real x Previsto'!$C$4:$C$25,"Digital")</f>
        <v/>
      </c>
      <c r="E5" s="5">
        <f>SUMIFS('Real x Previsto'!$AB$4:$AB$25,'Real x Previsto'!$C$4:$C$25,"Digital")</f>
        <v/>
      </c>
      <c r="F5" s="5">
        <f>SUMIFS('Real x Previsto'!$Y$4:$Y$25,'Real x Previsto'!$C$4:$C$25,"Digital")</f>
        <v/>
      </c>
      <c r="G5" s="6">
        <f>IF(B5&gt;0,D5/B5,0)</f>
        <v/>
      </c>
      <c r="H5" s="6">
        <f>IF(C5&gt;0,E5/C5,0)</f>
        <v/>
      </c>
      <c r="I5" s="7">
        <f>SUMIFS('Real x Previsto'!$K$4:$K$25,'Real x Previsto'!$C$4:$C$25,"Digital")</f>
        <v/>
      </c>
      <c r="J5" s="8">
        <f>SUMIFS('Real x Previsto'!$W$4:$W$25,'Real x Previsto'!$C$4:$C$25,"Digital")</f>
        <v/>
      </c>
    </row>
    <row r="6">
      <c r="A6" s="3" t="inlineStr">
        <is>
          <t>Total</t>
        </is>
      </c>
      <c r="B6" s="5">
        <f>SUM('Real x Previsto'!$G$4:$G$25)</f>
        <v/>
      </c>
      <c r="C6" s="5">
        <f>SUM('Real x Previsto'!$U$4:$U$25)</f>
        <v/>
      </c>
      <c r="D6" s="5">
        <f>SUM('Real x Previsto'!$P$4:$P$25)</f>
        <v/>
      </c>
      <c r="E6" s="5">
        <f>SUM('Real x Previsto'!$AB$4:$AB$25)</f>
        <v/>
      </c>
      <c r="F6" s="5">
        <f>SUM('Real x Previsto'!$Y$4:$Y$25)</f>
        <v/>
      </c>
      <c r="G6" s="6">
        <f>IF(B6&gt;0,D6/B6,0)</f>
        <v/>
      </c>
      <c r="H6" s="6">
        <f>IF(C6&gt;0,E6/C6,0)</f>
        <v/>
      </c>
      <c r="I6" s="7">
        <f>SUM('Real x Previsto'!$K$4:$K$25)</f>
        <v/>
      </c>
      <c r="J6" s="8">
        <f>SUM('Real x Previsto'!$W$4:$W$25)</f>
        <v/>
      </c>
    </row>
    <row r="8">
      <c r="A8" s="3" t="inlineStr">
        <is>
          <t>Decisão por ação (ROI previsto)</t>
        </is>
      </c>
    </row>
    <row r="9">
      <c r="A9" s="2" t="inlineStr">
        <is>
          <t>Aprovação direta</t>
        </is>
      </c>
      <c r="B9" s="9">
        <f>COUNTIF('Real x Previsto'!$R$4:$R$25,"Aprovação direta")</f>
        <v/>
      </c>
    </row>
    <row r="10">
      <c r="A10" s="2" t="inlineStr">
        <is>
          <t>Aprova com plano</t>
        </is>
      </c>
      <c r="B10" s="9">
        <f>COUNTIF('Real x Previsto'!$R$4:$R$25,"Aprova com plano")</f>
        <v/>
      </c>
    </row>
    <row r="11">
      <c r="A11" s="2" t="inlineStr">
        <is>
          <t>Reprova ou justificar</t>
        </is>
      </c>
      <c r="B11" s="9">
        <f>COUNTIF('Real x Previsto'!$R$4:$R$25,"Reprova ou justificar")</f>
        <v/>
      </c>
    </row>
    <row r="13">
      <c r="A13" s="2" t="inlineStr">
        <is>
          <t>Custo = custo variável das tentativas nos fornecedores; custos fixos não estão incluídos, por isso o ROI por ação tende a ser alto. Receita = recuperação × % de remuneração.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20" customWidth="1" min="4" max="4"/>
  </cols>
  <sheetData>
    <row r="1">
      <c r="A1" s="1" t="inlineStr">
        <is>
          <t>Premissas</t>
        </is>
      </c>
    </row>
    <row r="3">
      <c r="A3" s="4" t="inlineStr">
        <is>
          <t>Canal</t>
        </is>
      </c>
      <c r="B3" s="4" t="inlineStr">
        <is>
          <t>Código</t>
        </is>
      </c>
      <c r="C3" s="4" t="inlineStr">
        <is>
          <t>Taxa de contato prevista</t>
        </is>
      </c>
      <c r="D3" s="4" t="inlineStr">
        <is>
          <t>Custo unitário (R$)</t>
        </is>
      </c>
    </row>
    <row r="4">
      <c r="A4" s="2" t="inlineStr">
        <is>
          <t>WhatsApp</t>
        </is>
      </c>
      <c r="B4" s="2" t="inlineStr">
        <is>
          <t>whatsapp</t>
        </is>
      </c>
      <c r="C4" s="10" t="n">
        <v>0.15</v>
      </c>
      <c r="D4" s="11" t="n">
        <v>0.3</v>
      </c>
    </row>
    <row r="5">
      <c r="A5" s="2" t="inlineStr">
        <is>
          <t>RCS</t>
        </is>
      </c>
      <c r="B5" s="2" t="inlineStr">
        <is>
          <t>rcs</t>
        </is>
      </c>
      <c r="C5" s="10" t="n">
        <v>0.07000000000000001</v>
      </c>
      <c r="D5" s="11" t="n">
        <v>0.12</v>
      </c>
    </row>
    <row r="6">
      <c r="A6" s="2" t="inlineStr">
        <is>
          <t>Agente virtual</t>
        </is>
      </c>
      <c r="B6" s="2" t="inlineStr">
        <is>
          <t>agente_voz</t>
        </is>
      </c>
      <c r="C6" s="10" t="n">
        <v>0.03</v>
      </c>
      <c r="D6" s="11" t="n">
        <v>0.12</v>
      </c>
    </row>
    <row r="7">
      <c r="A7" s="2" t="inlineStr">
        <is>
          <t>Discador</t>
        </is>
      </c>
      <c r="B7" s="2" t="inlineStr">
        <is>
          <t>discador</t>
        </is>
      </c>
      <c r="C7" s="10" t="n">
        <v>0.03</v>
      </c>
      <c r="D7" s="11" t="n">
        <v>0.35</v>
      </c>
    </row>
    <row r="8">
      <c r="A8" s="2" t="inlineStr">
        <is>
          <t>SMS</t>
        </is>
      </c>
      <c r="B8" s="2" t="inlineStr">
        <is>
          <t>sms</t>
        </is>
      </c>
      <c r="C8" s="10" t="n">
        <v>0.015</v>
      </c>
      <c r="D8" s="11" t="n">
        <v>0.07000000000000001</v>
      </c>
    </row>
    <row r="9">
      <c r="A9" s="2" t="inlineStr">
        <is>
          <t>E-mail</t>
        </is>
      </c>
      <c r="B9" s="2" t="inlineStr">
        <is>
          <t>email</t>
        </is>
      </c>
      <c r="C9" s="10" t="n">
        <v>0.015</v>
      </c>
      <c r="D9" s="11" t="n">
        <v>0.01</v>
      </c>
    </row>
    <row r="11">
      <c r="A11" s="3" t="inlineStr">
        <is>
          <t>% acordo sobre contato</t>
        </is>
      </c>
      <c r="C11" s="10" t="n">
        <v>0.25</v>
      </c>
    </row>
    <row r="12">
      <c r="A12" s="3" t="inlineStr">
        <is>
          <t>Ticket médio do acordo (R$)</t>
        </is>
      </c>
      <c r="C12" s="11" t="n">
        <v>3035.95</v>
      </c>
    </row>
    <row r="13">
      <c r="A13" s="3" t="inlineStr">
        <is>
          <t>% de parcelas pagas</t>
        </is>
      </c>
      <c r="C13" s="10" t="n">
        <v>0.8</v>
      </c>
    </row>
    <row r="14">
      <c r="A14" s="3" t="inlineStr">
        <is>
          <t>% de remuneração sobre o recuperado</t>
        </is>
      </c>
      <c r="C14" s="10" t="n">
        <v>0.15</v>
      </c>
    </row>
    <row r="15">
      <c r="A15" s="3" t="inlineStr">
        <is>
          <t>ROI para aprovação direta</t>
        </is>
      </c>
      <c r="C15" s="12" t="n">
        <v>1.5</v>
      </c>
    </row>
    <row r="16">
      <c r="A16" s="3" t="inlineStr">
        <is>
          <t>ROI mínimo (aprova com plano)</t>
        </is>
      </c>
      <c r="C16" s="1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hidden="1" width="13" customWidth="1" min="34" max="34"/>
  </cols>
  <sheetData>
    <row r="1">
      <c r="A1" s="1" t="inlineStr">
        <is>
          <t>Real x Previsto por ação (régua x canal)</t>
        </is>
      </c>
    </row>
    <row r="2">
      <c r="E2" s="3" t="inlineStr">
        <is>
          <t>PREVISTO</t>
        </is>
      </c>
      <c r="T2" s="3" t="inlineStr">
        <is>
          <t>REAL (MotorCob)</t>
        </is>
      </c>
    </row>
    <row r="3" ht="45" customHeight="1">
      <c r="A3" s="4" t="inlineStr">
        <is>
          <t>Régua</t>
        </is>
      </c>
      <c r="B3" s="4" t="inlineStr">
        <is>
          <t>Canal</t>
        </is>
      </c>
      <c r="C3" s="4" t="inlineStr">
        <is>
          <t>Vertical</t>
        </is>
      </c>
      <c r="D3" s="4" t="inlineStr">
        <is>
          <t>Fornecedor</t>
        </is>
      </c>
      <c r="E3" s="13" t="inlineStr">
        <is>
          <t>Volume previsto</t>
        </is>
      </c>
      <c r="F3" s="13" t="inlineStr">
        <is>
          <t>Custo unitário</t>
        </is>
      </c>
      <c r="G3" s="13" t="inlineStr">
        <is>
          <t>Orçado</t>
        </is>
      </c>
      <c r="H3" s="13" t="inlineStr">
        <is>
          <t>Taxa de contato prevista</t>
        </is>
      </c>
      <c r="I3" s="13" t="inlineStr">
        <is>
          <t>Contatos previstos</t>
        </is>
      </c>
      <c r="J3" s="13" t="inlineStr">
        <is>
          <t>% acordo s/ contato</t>
        </is>
      </c>
      <c r="K3" s="13" t="inlineStr">
        <is>
          <t>Acordos previstos</t>
        </is>
      </c>
      <c r="L3" s="13" t="inlineStr">
        <is>
          <t>Ticket médio</t>
        </is>
      </c>
      <c r="M3" s="13" t="inlineStr">
        <is>
          <t>% parcelas pagas</t>
        </is>
      </c>
      <c r="N3" s="13" t="inlineStr">
        <is>
          <t>Recuperação prevista</t>
        </is>
      </c>
      <c r="O3" s="13" t="inlineStr">
        <is>
          <t>% remuneração</t>
        </is>
      </c>
      <c r="P3" s="13" t="inlineStr">
        <is>
          <t>Receita prevista</t>
        </is>
      </c>
      <c r="Q3" s="13" t="inlineStr">
        <is>
          <t>ROI previsto</t>
        </is>
      </c>
      <c r="R3" s="13" t="inlineStr">
        <is>
          <t>Decisão</t>
        </is>
      </c>
      <c r="S3" s="13" t="inlineStr">
        <is>
          <t>Custo por acordo previsto</t>
        </is>
      </c>
      <c r="T3" s="14" t="inlineStr">
        <is>
          <t>Volume real</t>
        </is>
      </c>
      <c r="U3" s="14" t="inlineStr">
        <is>
          <t>Custo real</t>
        </is>
      </c>
      <c r="V3" s="14" t="inlineStr">
        <is>
          <t>Contatos reais</t>
        </is>
      </c>
      <c r="W3" s="14" t="inlineStr">
        <is>
          <t>Acordos reais</t>
        </is>
      </c>
      <c r="X3" s="14" t="inlineStr">
        <is>
          <t>Valor acordado</t>
        </is>
      </c>
      <c r="Y3" s="14" t="inlineStr">
        <is>
          <t>Recuperado (caixa)</t>
        </is>
      </c>
      <c r="Z3" s="14" t="inlineStr">
        <is>
          <t>Taxa de contato real</t>
        </is>
      </c>
      <c r="AA3" s="14" t="inlineStr">
        <is>
          <t>Recuperação real projetada</t>
        </is>
      </c>
      <c r="AB3" s="14" t="inlineStr">
        <is>
          <t>Receita real projetada</t>
        </is>
      </c>
      <c r="AC3" s="14" t="inlineStr">
        <is>
          <t>ROI real</t>
        </is>
      </c>
      <c r="AD3" s="14" t="inlineStr">
        <is>
          <t>ROI realizado (caixa)</t>
        </is>
      </c>
      <c r="AE3" s="14" t="inlineStr">
        <is>
          <t>Desvio de receita</t>
        </is>
      </c>
      <c r="AF3" s="14" t="inlineStr">
        <is>
          <t>Desvio de custo</t>
        </is>
      </c>
      <c r="AG3" s="14" t="inlineStr">
        <is>
          <t>Custo por acordo real</t>
        </is>
      </c>
    </row>
    <row r="4">
      <c r="A4" s="15" t="inlineStr">
        <is>
          <t>Localização</t>
        </is>
      </c>
      <c r="B4" s="15" t="inlineStr">
        <is>
          <t>WhatsApp</t>
        </is>
      </c>
      <c r="C4" s="15" t="inlineStr">
        <is>
          <t>Digital</t>
        </is>
      </c>
      <c r="D4" s="15" t="inlineStr">
        <is>
          <t>sim</t>
        </is>
      </c>
      <c r="E4" s="16" t="n">
        <v>154</v>
      </c>
      <c r="F4" s="17">
        <f>IFERROR(INDEX(Premissas!$D$4:$D$9,MATCH($AH4,Premissas!$B$4:$B$9,0)),0)</f>
        <v/>
      </c>
      <c r="G4" s="17">
        <f>E4*F4</f>
        <v/>
      </c>
      <c r="H4" s="18">
        <f>IFERROR(INDEX(Premissas!$C$4:$C$9,MATCH($AH4,Premissas!$B$4:$B$9,0)),0)</f>
        <v/>
      </c>
      <c r="I4" s="19">
        <f>E4*H4</f>
        <v/>
      </c>
      <c r="J4" s="18">
        <f>Premissas!$C$11</f>
        <v/>
      </c>
      <c r="K4" s="19">
        <f>I4*J4</f>
        <v/>
      </c>
      <c r="L4" s="17">
        <f>Premissas!$C$12</f>
        <v/>
      </c>
      <c r="M4" s="18">
        <f>Premissas!$C$13</f>
        <v/>
      </c>
      <c r="N4" s="17">
        <f>K4*L4*M4</f>
        <v/>
      </c>
      <c r="O4" s="18">
        <f>Premissas!$C$14</f>
        <v/>
      </c>
      <c r="P4" s="17">
        <f>N4*O4</f>
        <v/>
      </c>
      <c r="Q4" s="20">
        <f>IF(G4&gt;0,P4/G4,0)</f>
        <v/>
      </c>
      <c r="R4" s="15">
        <f>IF(Q4&gt;=Premissas!$C$15,"Aprovação direta",IF(Q4&gt;=Premissas!$C$16,"Aprova com plano","Reprova ou justificar"))</f>
        <v/>
      </c>
      <c r="S4" s="17">
        <f>IF(K4&gt;0,G4/K4,0)</f>
        <v/>
      </c>
      <c r="T4" s="21" t="n">
        <v>154</v>
      </c>
      <c r="U4" s="17" t="n">
        <v>46.2</v>
      </c>
      <c r="V4" s="21" t="n">
        <v>18</v>
      </c>
      <c r="W4" s="21" t="n">
        <v>2</v>
      </c>
      <c r="X4" s="17" t="n">
        <v>3381.74</v>
      </c>
      <c r="Y4" s="17" t="n">
        <v>535.03</v>
      </c>
      <c r="Z4" s="18">
        <f>IF(T4&gt;0,V4/T4,0)</f>
        <v/>
      </c>
      <c r="AA4" s="17">
        <f>X4*M4</f>
        <v/>
      </c>
      <c r="AB4" s="17">
        <f>AA4*O4</f>
        <v/>
      </c>
      <c r="AC4" s="20">
        <f>IF(U4&gt;0,AB4/U4,0)</f>
        <v/>
      </c>
      <c r="AD4" s="20">
        <f>IF(U4&gt;0,Y4*O4/U4,0)</f>
        <v/>
      </c>
      <c r="AE4" s="18">
        <f>IF(P4&gt;0,AB4/P4-1,0)</f>
        <v/>
      </c>
      <c r="AF4" s="18">
        <f>IF(G4&gt;0,U4/G4-1,0)</f>
        <v/>
      </c>
      <c r="AG4" s="17">
        <f>IF(W4&gt;0,U4/W4,0)</f>
        <v/>
      </c>
      <c r="AH4" t="inlineStr">
        <is>
          <t>whatsapp</t>
        </is>
      </c>
    </row>
    <row r="5">
      <c r="A5" s="15" t="inlineStr">
        <is>
          <t>Localização</t>
        </is>
      </c>
      <c r="B5" s="15" t="inlineStr">
        <is>
          <t>RCS</t>
        </is>
      </c>
      <c r="C5" s="15" t="inlineStr">
        <is>
          <t>Digital</t>
        </is>
      </c>
      <c r="D5" s="15" t="inlineStr">
        <is>
          <t>sim</t>
        </is>
      </c>
      <c r="E5" s="16" t="n">
        <v>547</v>
      </c>
      <c r="F5" s="17">
        <f>IFERROR(INDEX(Premissas!$D$4:$D$9,MATCH($AH5,Premissas!$B$4:$B$9,0)),0)</f>
        <v/>
      </c>
      <c r="G5" s="17">
        <f>E5*F5</f>
        <v/>
      </c>
      <c r="H5" s="18">
        <f>IFERROR(INDEX(Premissas!$C$4:$C$9,MATCH($AH5,Premissas!$B$4:$B$9,0)),0)</f>
        <v/>
      </c>
      <c r="I5" s="19">
        <f>E5*H5</f>
        <v/>
      </c>
      <c r="J5" s="18">
        <f>Premissas!$C$11</f>
        <v/>
      </c>
      <c r="K5" s="19">
        <f>I5*J5</f>
        <v/>
      </c>
      <c r="L5" s="17">
        <f>Premissas!$C$12</f>
        <v/>
      </c>
      <c r="M5" s="18">
        <f>Premissas!$C$13</f>
        <v/>
      </c>
      <c r="N5" s="17">
        <f>K5*L5*M5</f>
        <v/>
      </c>
      <c r="O5" s="18">
        <f>Premissas!$C$14</f>
        <v/>
      </c>
      <c r="P5" s="17">
        <f>N5*O5</f>
        <v/>
      </c>
      <c r="Q5" s="20">
        <f>IF(G5&gt;0,P5/G5,0)</f>
        <v/>
      </c>
      <c r="R5" s="15">
        <f>IF(Q5&gt;=Premissas!$C$15,"Aprovação direta",IF(Q5&gt;=Premissas!$C$16,"Aprova com plano","Reprova ou justificar"))</f>
        <v/>
      </c>
      <c r="S5" s="17">
        <f>IF(K5&gt;0,G5/K5,0)</f>
        <v/>
      </c>
      <c r="T5" s="21" t="n">
        <v>547</v>
      </c>
      <c r="U5" s="17" t="n">
        <v>65.64</v>
      </c>
      <c r="V5" s="21" t="n">
        <v>23</v>
      </c>
      <c r="W5" s="21" t="n">
        <v>10</v>
      </c>
      <c r="X5" s="17" t="n">
        <v>31427.37</v>
      </c>
      <c r="Y5" s="17" t="n">
        <v>25294.47</v>
      </c>
      <c r="Z5" s="18">
        <f>IF(T5&gt;0,V5/T5,0)</f>
        <v/>
      </c>
      <c r="AA5" s="17">
        <f>X5*M5</f>
        <v/>
      </c>
      <c r="AB5" s="17">
        <f>AA5*O5</f>
        <v/>
      </c>
      <c r="AC5" s="20">
        <f>IF(U5&gt;0,AB5/U5,0)</f>
        <v/>
      </c>
      <c r="AD5" s="20">
        <f>IF(U5&gt;0,Y5*O5/U5,0)</f>
        <v/>
      </c>
      <c r="AE5" s="18">
        <f>IF(P5&gt;0,AB5/P5-1,0)</f>
        <v/>
      </c>
      <c r="AF5" s="18">
        <f>IF(G5&gt;0,U5/G5-1,0)</f>
        <v/>
      </c>
      <c r="AG5" s="17">
        <f>IF(W5&gt;0,U5/W5,0)</f>
        <v/>
      </c>
      <c r="AH5" t="inlineStr">
        <is>
          <t>rcs</t>
        </is>
      </c>
    </row>
    <row r="6">
      <c r="A6" s="15" t="inlineStr">
        <is>
          <t>Localização</t>
        </is>
      </c>
      <c r="B6" s="15" t="inlineStr">
        <is>
          <t>Agente virtual</t>
        </is>
      </c>
      <c r="C6" s="15" t="inlineStr">
        <is>
          <t>Voz</t>
        </is>
      </c>
      <c r="D6" s="15" t="inlineStr">
        <is>
          <t>sim</t>
        </is>
      </c>
      <c r="E6" s="16" t="n">
        <v>671</v>
      </c>
      <c r="F6" s="17">
        <f>IFERROR(INDEX(Premissas!$D$4:$D$9,MATCH($AH6,Premissas!$B$4:$B$9,0)),0)</f>
        <v/>
      </c>
      <c r="G6" s="17">
        <f>E6*F6</f>
        <v/>
      </c>
      <c r="H6" s="18">
        <f>IFERROR(INDEX(Premissas!$C$4:$C$9,MATCH($AH6,Premissas!$B$4:$B$9,0)),0)</f>
        <v/>
      </c>
      <c r="I6" s="19">
        <f>E6*H6</f>
        <v/>
      </c>
      <c r="J6" s="18">
        <f>Premissas!$C$11</f>
        <v/>
      </c>
      <c r="K6" s="19">
        <f>I6*J6</f>
        <v/>
      </c>
      <c r="L6" s="17">
        <f>Premissas!$C$12</f>
        <v/>
      </c>
      <c r="M6" s="18">
        <f>Premissas!$C$13</f>
        <v/>
      </c>
      <c r="N6" s="17">
        <f>K6*L6*M6</f>
        <v/>
      </c>
      <c r="O6" s="18">
        <f>Premissas!$C$14</f>
        <v/>
      </c>
      <c r="P6" s="17">
        <f>N6*O6</f>
        <v/>
      </c>
      <c r="Q6" s="20">
        <f>IF(G6&gt;0,P6/G6,0)</f>
        <v/>
      </c>
      <c r="R6" s="15">
        <f>IF(Q6&gt;=Premissas!$C$15,"Aprovação direta",IF(Q6&gt;=Premissas!$C$16,"Aprova com plano","Reprova ou justificar"))</f>
        <v/>
      </c>
      <c r="S6" s="17">
        <f>IF(K6&gt;0,G6/K6,0)</f>
        <v/>
      </c>
      <c r="T6" s="21" t="n">
        <v>671</v>
      </c>
      <c r="U6" s="17" t="n">
        <v>80.52</v>
      </c>
      <c r="V6" s="21" t="n">
        <v>18</v>
      </c>
      <c r="W6" s="21" t="n">
        <v>1</v>
      </c>
      <c r="X6" s="17" t="n">
        <v>2302.1</v>
      </c>
      <c r="Y6" s="17" t="n">
        <v>230.21</v>
      </c>
      <c r="Z6" s="18">
        <f>IF(T6&gt;0,V6/T6,0)</f>
        <v/>
      </c>
      <c r="AA6" s="17">
        <f>X6*M6</f>
        <v/>
      </c>
      <c r="AB6" s="17">
        <f>AA6*O6</f>
        <v/>
      </c>
      <c r="AC6" s="20">
        <f>IF(U6&gt;0,AB6/U6,0)</f>
        <v/>
      </c>
      <c r="AD6" s="20">
        <f>IF(U6&gt;0,Y6*O6/U6,0)</f>
        <v/>
      </c>
      <c r="AE6" s="18">
        <f>IF(P6&gt;0,AB6/P6-1,0)</f>
        <v/>
      </c>
      <c r="AF6" s="18">
        <f>IF(G6&gt;0,U6/G6-1,0)</f>
        <v/>
      </c>
      <c r="AG6" s="17">
        <f>IF(W6&gt;0,U6/W6,0)</f>
        <v/>
      </c>
      <c r="AH6" t="inlineStr">
        <is>
          <t>agente_voz</t>
        </is>
      </c>
    </row>
    <row r="7">
      <c r="A7" s="15" t="inlineStr">
        <is>
          <t>Localização</t>
        </is>
      </c>
      <c r="B7" s="15" t="inlineStr">
        <is>
          <t>Discador</t>
        </is>
      </c>
      <c r="C7" s="15" t="inlineStr">
        <is>
          <t>Voz</t>
        </is>
      </c>
      <c r="D7" s="15" t="inlineStr">
        <is>
          <t>sim</t>
        </is>
      </c>
      <c r="E7" s="16" t="n">
        <v>618</v>
      </c>
      <c r="F7" s="17">
        <f>IFERROR(INDEX(Premissas!$D$4:$D$9,MATCH($AH7,Premissas!$B$4:$B$9,0)),0)</f>
        <v/>
      </c>
      <c r="G7" s="17">
        <f>E7*F7</f>
        <v/>
      </c>
      <c r="H7" s="18">
        <f>IFERROR(INDEX(Premissas!$C$4:$C$9,MATCH($AH7,Premissas!$B$4:$B$9,0)),0)</f>
        <v/>
      </c>
      <c r="I7" s="19">
        <f>E7*H7</f>
        <v/>
      </c>
      <c r="J7" s="18">
        <f>Premissas!$C$11</f>
        <v/>
      </c>
      <c r="K7" s="19">
        <f>I7*J7</f>
        <v/>
      </c>
      <c r="L7" s="17">
        <f>Premissas!$C$12</f>
        <v/>
      </c>
      <c r="M7" s="18">
        <f>Premissas!$C$13</f>
        <v/>
      </c>
      <c r="N7" s="17">
        <f>K7*L7*M7</f>
        <v/>
      </c>
      <c r="O7" s="18">
        <f>Premissas!$C$14</f>
        <v/>
      </c>
      <c r="P7" s="17">
        <f>N7*O7</f>
        <v/>
      </c>
      <c r="Q7" s="20">
        <f>IF(G7&gt;0,P7/G7,0)</f>
        <v/>
      </c>
      <c r="R7" s="15">
        <f>IF(Q7&gt;=Premissas!$C$15,"Aprovação direta",IF(Q7&gt;=Premissas!$C$16,"Aprova com plano","Reprova ou justificar"))</f>
        <v/>
      </c>
      <c r="S7" s="17">
        <f>IF(K7&gt;0,G7/K7,0)</f>
        <v/>
      </c>
      <c r="T7" s="21" t="n">
        <v>618</v>
      </c>
      <c r="U7" s="17" t="n">
        <v>216.3</v>
      </c>
      <c r="V7" s="21" t="n">
        <v>18</v>
      </c>
      <c r="W7" s="21" t="n">
        <v>4</v>
      </c>
      <c r="X7" s="17" t="n">
        <v>12591.69</v>
      </c>
      <c r="Y7" s="17" t="n">
        <v>8368.85</v>
      </c>
      <c r="Z7" s="18">
        <f>IF(T7&gt;0,V7/T7,0)</f>
        <v/>
      </c>
      <c r="AA7" s="17">
        <f>X7*M7</f>
        <v/>
      </c>
      <c r="AB7" s="17">
        <f>AA7*O7</f>
        <v/>
      </c>
      <c r="AC7" s="20">
        <f>IF(U7&gt;0,AB7/U7,0)</f>
        <v/>
      </c>
      <c r="AD7" s="20">
        <f>IF(U7&gt;0,Y7*O7/U7,0)</f>
        <v/>
      </c>
      <c r="AE7" s="18">
        <f>IF(P7&gt;0,AB7/P7-1,0)</f>
        <v/>
      </c>
      <c r="AF7" s="18">
        <f>IF(G7&gt;0,U7/G7-1,0)</f>
        <v/>
      </c>
      <c r="AG7" s="17">
        <f>IF(W7&gt;0,U7/W7,0)</f>
        <v/>
      </c>
      <c r="AH7" t="inlineStr">
        <is>
          <t>discador</t>
        </is>
      </c>
    </row>
    <row r="8">
      <c r="A8" s="15" t="inlineStr">
        <is>
          <t>Localização</t>
        </is>
      </c>
      <c r="B8" s="15" t="inlineStr">
        <is>
          <t>SMS</t>
        </is>
      </c>
      <c r="C8" s="15" t="inlineStr">
        <is>
          <t>Digital</t>
        </is>
      </c>
      <c r="D8" s="15" t="inlineStr">
        <is>
          <t>sim</t>
        </is>
      </c>
      <c r="E8" s="16" t="n">
        <v>441</v>
      </c>
      <c r="F8" s="17">
        <f>IFERROR(INDEX(Premissas!$D$4:$D$9,MATCH($AH8,Premissas!$B$4:$B$9,0)),0)</f>
        <v/>
      </c>
      <c r="G8" s="17">
        <f>E8*F8</f>
        <v/>
      </c>
      <c r="H8" s="18">
        <f>IFERROR(INDEX(Premissas!$C$4:$C$9,MATCH($AH8,Premissas!$B$4:$B$9,0)),0)</f>
        <v/>
      </c>
      <c r="I8" s="19">
        <f>E8*H8</f>
        <v/>
      </c>
      <c r="J8" s="18">
        <f>Premissas!$C$11</f>
        <v/>
      </c>
      <c r="K8" s="19">
        <f>I8*J8</f>
        <v/>
      </c>
      <c r="L8" s="17">
        <f>Premissas!$C$12</f>
        <v/>
      </c>
      <c r="M8" s="18">
        <f>Premissas!$C$13</f>
        <v/>
      </c>
      <c r="N8" s="17">
        <f>K8*L8*M8</f>
        <v/>
      </c>
      <c r="O8" s="18">
        <f>Premissas!$C$14</f>
        <v/>
      </c>
      <c r="P8" s="17">
        <f>N8*O8</f>
        <v/>
      </c>
      <c r="Q8" s="20">
        <f>IF(G8&gt;0,P8/G8,0)</f>
        <v/>
      </c>
      <c r="R8" s="15">
        <f>IF(Q8&gt;=Premissas!$C$15,"Aprovação direta",IF(Q8&gt;=Premissas!$C$16,"Aprova com plano","Reprova ou justificar"))</f>
        <v/>
      </c>
      <c r="S8" s="17">
        <f>IF(K8&gt;0,G8/K8,0)</f>
        <v/>
      </c>
      <c r="T8" s="21" t="n">
        <v>441</v>
      </c>
      <c r="U8" s="17" t="n">
        <v>30.87</v>
      </c>
      <c r="V8" s="21" t="n">
        <v>5</v>
      </c>
      <c r="W8" s="21" t="n">
        <v>2</v>
      </c>
      <c r="X8" s="17" t="n">
        <v>604.23</v>
      </c>
      <c r="Y8" s="17" t="n">
        <v>22.16</v>
      </c>
      <c r="Z8" s="18">
        <f>IF(T8&gt;0,V8/T8,0)</f>
        <v/>
      </c>
      <c r="AA8" s="17">
        <f>X8*M8</f>
        <v/>
      </c>
      <c r="AB8" s="17">
        <f>AA8*O8</f>
        <v/>
      </c>
      <c r="AC8" s="20">
        <f>IF(U8&gt;0,AB8/U8,0)</f>
        <v/>
      </c>
      <c r="AD8" s="20">
        <f>IF(U8&gt;0,Y8*O8/U8,0)</f>
        <v/>
      </c>
      <c r="AE8" s="18">
        <f>IF(P8&gt;0,AB8/P8-1,0)</f>
        <v/>
      </c>
      <c r="AF8" s="18">
        <f>IF(G8&gt;0,U8/G8-1,0)</f>
        <v/>
      </c>
      <c r="AG8" s="17">
        <f>IF(W8&gt;0,U8/W8,0)</f>
        <v/>
      </c>
      <c r="AH8" t="inlineStr">
        <is>
          <t>sms</t>
        </is>
      </c>
    </row>
    <row r="9">
      <c r="A9" s="15" t="inlineStr">
        <is>
          <t>Localização</t>
        </is>
      </c>
      <c r="B9" s="15" t="inlineStr">
        <is>
          <t>E-mail</t>
        </is>
      </c>
      <c r="C9" s="15" t="inlineStr">
        <is>
          <t>Digital</t>
        </is>
      </c>
      <c r="D9" s="15" t="inlineStr">
        <is>
          <t>sim</t>
        </is>
      </c>
      <c r="E9" s="16" t="n">
        <v>256</v>
      </c>
      <c r="F9" s="17">
        <f>IFERROR(INDEX(Premissas!$D$4:$D$9,MATCH($AH9,Premissas!$B$4:$B$9,0)),0)</f>
        <v/>
      </c>
      <c r="G9" s="17">
        <f>E9*F9</f>
        <v/>
      </c>
      <c r="H9" s="18">
        <f>IFERROR(INDEX(Premissas!$C$4:$C$9,MATCH($AH9,Premissas!$B$4:$B$9,0)),0)</f>
        <v/>
      </c>
      <c r="I9" s="19">
        <f>E9*H9</f>
        <v/>
      </c>
      <c r="J9" s="18">
        <f>Premissas!$C$11</f>
        <v/>
      </c>
      <c r="K9" s="19">
        <f>I9*J9</f>
        <v/>
      </c>
      <c r="L9" s="17">
        <f>Premissas!$C$12</f>
        <v/>
      </c>
      <c r="M9" s="18">
        <f>Premissas!$C$13</f>
        <v/>
      </c>
      <c r="N9" s="17">
        <f>K9*L9*M9</f>
        <v/>
      </c>
      <c r="O9" s="18">
        <f>Premissas!$C$14</f>
        <v/>
      </c>
      <c r="P9" s="17">
        <f>N9*O9</f>
        <v/>
      </c>
      <c r="Q9" s="20">
        <f>IF(G9&gt;0,P9/G9,0)</f>
        <v/>
      </c>
      <c r="R9" s="15">
        <f>IF(Q9&gt;=Premissas!$C$15,"Aprovação direta",IF(Q9&gt;=Premissas!$C$16,"Aprova com plano","Reprova ou justificar"))</f>
        <v/>
      </c>
      <c r="S9" s="17">
        <f>IF(K9&gt;0,G9/K9,0)</f>
        <v/>
      </c>
      <c r="T9" s="21" t="n">
        <v>256</v>
      </c>
      <c r="U9" s="17" t="n">
        <v>2.56</v>
      </c>
      <c r="V9" s="21" t="n">
        <v>4</v>
      </c>
      <c r="W9" s="21" t="n">
        <v>0</v>
      </c>
      <c r="X9" s="17" t="n">
        <v>0</v>
      </c>
      <c r="Y9" s="17" t="n">
        <v>0</v>
      </c>
      <c r="Z9" s="18">
        <f>IF(T9&gt;0,V9/T9,0)</f>
        <v/>
      </c>
      <c r="AA9" s="17">
        <f>X9*M9</f>
        <v/>
      </c>
      <c r="AB9" s="17">
        <f>AA9*O9</f>
        <v/>
      </c>
      <c r="AC9" s="20">
        <f>IF(U9&gt;0,AB9/U9,0)</f>
        <v/>
      </c>
      <c r="AD9" s="20">
        <f>IF(U9&gt;0,Y9*O9/U9,0)</f>
        <v/>
      </c>
      <c r="AE9" s="18">
        <f>IF(P9&gt;0,AB9/P9-1,0)</f>
        <v/>
      </c>
      <c r="AF9" s="18">
        <f>IF(G9&gt;0,U9/G9-1,0)</f>
        <v/>
      </c>
      <c r="AG9" s="17">
        <f>IF(W9&gt;0,U9/W9,0)</f>
        <v/>
      </c>
      <c r="AH9" t="inlineStr">
        <is>
          <t>email</t>
        </is>
      </c>
    </row>
    <row r="10">
      <c r="A10" s="15" t="inlineStr">
        <is>
          <t>Giro (Não CPC)</t>
        </is>
      </c>
      <c r="B10" s="15" t="inlineStr">
        <is>
          <t>WhatsApp</t>
        </is>
      </c>
      <c r="C10" s="15" t="inlineStr">
        <is>
          <t>Digital</t>
        </is>
      </c>
      <c r="D10" s="15" t="inlineStr">
        <is>
          <t>sim</t>
        </is>
      </c>
      <c r="E10" s="16" t="n">
        <v>227</v>
      </c>
      <c r="F10" s="17">
        <f>IFERROR(INDEX(Premissas!$D$4:$D$9,MATCH($AH10,Premissas!$B$4:$B$9,0)),0)</f>
        <v/>
      </c>
      <c r="G10" s="17">
        <f>E10*F10</f>
        <v/>
      </c>
      <c r="H10" s="18">
        <f>IFERROR(INDEX(Premissas!$C$4:$C$9,MATCH($AH10,Premissas!$B$4:$B$9,0)),0)</f>
        <v/>
      </c>
      <c r="I10" s="19">
        <f>E10*H10</f>
        <v/>
      </c>
      <c r="J10" s="18">
        <f>Premissas!$C$11</f>
        <v/>
      </c>
      <c r="K10" s="19">
        <f>I10*J10</f>
        <v/>
      </c>
      <c r="L10" s="17">
        <f>Premissas!$C$12</f>
        <v/>
      </c>
      <c r="M10" s="18">
        <f>Premissas!$C$13</f>
        <v/>
      </c>
      <c r="N10" s="17">
        <f>K10*L10*M10</f>
        <v/>
      </c>
      <c r="O10" s="18">
        <f>Premissas!$C$14</f>
        <v/>
      </c>
      <c r="P10" s="17">
        <f>N10*O10</f>
        <v/>
      </c>
      <c r="Q10" s="20">
        <f>IF(G10&gt;0,P10/G10,0)</f>
        <v/>
      </c>
      <c r="R10" s="15">
        <f>IF(Q10&gt;=Premissas!$C$15,"Aprovação direta",IF(Q10&gt;=Premissas!$C$16,"Aprova com plano","Reprova ou justificar"))</f>
        <v/>
      </c>
      <c r="S10" s="17">
        <f>IF(K10&gt;0,G10/K10,0)</f>
        <v/>
      </c>
      <c r="T10" s="21" t="n">
        <v>227</v>
      </c>
      <c r="U10" s="17" t="n">
        <v>68.09999999999999</v>
      </c>
      <c r="V10" s="21" t="n">
        <v>32</v>
      </c>
      <c r="W10" s="21" t="n">
        <v>6</v>
      </c>
      <c r="X10" s="17" t="n">
        <v>26468.63</v>
      </c>
      <c r="Y10" s="17" t="n">
        <v>14788.95</v>
      </c>
      <c r="Z10" s="18">
        <f>IF(T10&gt;0,V10/T10,0)</f>
        <v/>
      </c>
      <c r="AA10" s="17">
        <f>X10*M10</f>
        <v/>
      </c>
      <c r="AB10" s="17">
        <f>AA10*O10</f>
        <v/>
      </c>
      <c r="AC10" s="20">
        <f>IF(U10&gt;0,AB10/U10,0)</f>
        <v/>
      </c>
      <c r="AD10" s="20">
        <f>IF(U10&gt;0,Y10*O10/U10,0)</f>
        <v/>
      </c>
      <c r="AE10" s="18">
        <f>IF(P10&gt;0,AB10/P10-1,0)</f>
        <v/>
      </c>
      <c r="AF10" s="18">
        <f>IF(G10&gt;0,U10/G10-1,0)</f>
        <v/>
      </c>
      <c r="AG10" s="17">
        <f>IF(W10&gt;0,U10/W10,0)</f>
        <v/>
      </c>
      <c r="AH10" t="inlineStr">
        <is>
          <t>whatsapp</t>
        </is>
      </c>
    </row>
    <row r="11">
      <c r="A11" s="15" t="inlineStr">
        <is>
          <t>Giro (Não CPC)</t>
        </is>
      </c>
      <c r="B11" s="15" t="inlineStr">
        <is>
          <t>RCS</t>
        </is>
      </c>
      <c r="C11" s="15" t="inlineStr">
        <is>
          <t>Digital</t>
        </is>
      </c>
      <c r="D11" s="15" t="inlineStr">
        <is>
          <t>sim</t>
        </is>
      </c>
      <c r="E11" s="16" t="n">
        <v>814</v>
      </c>
      <c r="F11" s="17">
        <f>IFERROR(INDEX(Premissas!$D$4:$D$9,MATCH($AH11,Premissas!$B$4:$B$9,0)),0)</f>
        <v/>
      </c>
      <c r="G11" s="17">
        <f>E11*F11</f>
        <v/>
      </c>
      <c r="H11" s="18">
        <f>IFERROR(INDEX(Premissas!$C$4:$C$9,MATCH($AH11,Premissas!$B$4:$B$9,0)),0)</f>
        <v/>
      </c>
      <c r="I11" s="19">
        <f>E11*H11</f>
        <v/>
      </c>
      <c r="J11" s="18">
        <f>Premissas!$C$11</f>
        <v/>
      </c>
      <c r="K11" s="19">
        <f>I11*J11</f>
        <v/>
      </c>
      <c r="L11" s="17">
        <f>Premissas!$C$12</f>
        <v/>
      </c>
      <c r="M11" s="18">
        <f>Premissas!$C$13</f>
        <v/>
      </c>
      <c r="N11" s="17">
        <f>K11*L11*M11</f>
        <v/>
      </c>
      <c r="O11" s="18">
        <f>Premissas!$C$14</f>
        <v/>
      </c>
      <c r="P11" s="17">
        <f>N11*O11</f>
        <v/>
      </c>
      <c r="Q11" s="20">
        <f>IF(G11&gt;0,P11/G11,0)</f>
        <v/>
      </c>
      <c r="R11" s="15">
        <f>IF(Q11&gt;=Premissas!$C$15,"Aprovação direta",IF(Q11&gt;=Premissas!$C$16,"Aprova com plano","Reprova ou justificar"))</f>
        <v/>
      </c>
      <c r="S11" s="17">
        <f>IF(K11&gt;0,G11/K11,0)</f>
        <v/>
      </c>
      <c r="T11" s="21" t="n">
        <v>814</v>
      </c>
      <c r="U11" s="17" t="n">
        <v>97.68000000000001</v>
      </c>
      <c r="V11" s="21" t="n">
        <v>37</v>
      </c>
      <c r="W11" s="21" t="n">
        <v>6</v>
      </c>
      <c r="X11" s="17" t="n">
        <v>13354.04</v>
      </c>
      <c r="Y11" s="17" t="n">
        <v>503.58</v>
      </c>
      <c r="Z11" s="18">
        <f>IF(T11&gt;0,V11/T11,0)</f>
        <v/>
      </c>
      <c r="AA11" s="17">
        <f>X11*M11</f>
        <v/>
      </c>
      <c r="AB11" s="17">
        <f>AA11*O11</f>
        <v/>
      </c>
      <c r="AC11" s="20">
        <f>IF(U11&gt;0,AB11/U11,0)</f>
        <v/>
      </c>
      <c r="AD11" s="20">
        <f>IF(U11&gt;0,Y11*O11/U11,0)</f>
        <v/>
      </c>
      <c r="AE11" s="18">
        <f>IF(P11&gt;0,AB11/P11-1,0)</f>
        <v/>
      </c>
      <c r="AF11" s="18">
        <f>IF(G11&gt;0,U11/G11-1,0)</f>
        <v/>
      </c>
      <c r="AG11" s="17">
        <f>IF(W11&gt;0,U11/W11,0)</f>
        <v/>
      </c>
      <c r="AH11" t="inlineStr">
        <is>
          <t>rcs</t>
        </is>
      </c>
    </row>
    <row r="12">
      <c r="A12" s="15" t="inlineStr">
        <is>
          <t>Giro (Não CPC)</t>
        </is>
      </c>
      <c r="B12" s="15" t="inlineStr">
        <is>
          <t>Agente virtual</t>
        </is>
      </c>
      <c r="C12" s="15" t="inlineStr">
        <is>
          <t>Voz</t>
        </is>
      </c>
      <c r="D12" s="15" t="inlineStr">
        <is>
          <t>sim</t>
        </is>
      </c>
      <c r="E12" s="16" t="n">
        <v>815</v>
      </c>
      <c r="F12" s="17">
        <f>IFERROR(INDEX(Premissas!$D$4:$D$9,MATCH($AH12,Premissas!$B$4:$B$9,0)),0)</f>
        <v/>
      </c>
      <c r="G12" s="17">
        <f>E12*F12</f>
        <v/>
      </c>
      <c r="H12" s="18">
        <f>IFERROR(INDEX(Premissas!$C$4:$C$9,MATCH($AH12,Premissas!$B$4:$B$9,0)),0)</f>
        <v/>
      </c>
      <c r="I12" s="19">
        <f>E12*H12</f>
        <v/>
      </c>
      <c r="J12" s="18">
        <f>Premissas!$C$11</f>
        <v/>
      </c>
      <c r="K12" s="19">
        <f>I12*J12</f>
        <v/>
      </c>
      <c r="L12" s="17">
        <f>Premissas!$C$12</f>
        <v/>
      </c>
      <c r="M12" s="18">
        <f>Premissas!$C$13</f>
        <v/>
      </c>
      <c r="N12" s="17">
        <f>K12*L12*M12</f>
        <v/>
      </c>
      <c r="O12" s="18">
        <f>Premissas!$C$14</f>
        <v/>
      </c>
      <c r="P12" s="17">
        <f>N12*O12</f>
        <v/>
      </c>
      <c r="Q12" s="20">
        <f>IF(G12&gt;0,P12/G12,0)</f>
        <v/>
      </c>
      <c r="R12" s="15">
        <f>IF(Q12&gt;=Premissas!$C$15,"Aprovação direta",IF(Q12&gt;=Premissas!$C$16,"Aprova com plano","Reprova ou justificar"))</f>
        <v/>
      </c>
      <c r="S12" s="17">
        <f>IF(K12&gt;0,G12/K12,0)</f>
        <v/>
      </c>
      <c r="T12" s="21" t="n">
        <v>815</v>
      </c>
      <c r="U12" s="17" t="n">
        <v>97.8</v>
      </c>
      <c r="V12" s="21" t="n">
        <v>30</v>
      </c>
      <c r="W12" s="21" t="n">
        <v>10</v>
      </c>
      <c r="X12" s="17" t="n">
        <v>45869.05</v>
      </c>
      <c r="Y12" s="17" t="n">
        <v>5720.86</v>
      </c>
      <c r="Z12" s="18">
        <f>IF(T12&gt;0,V12/T12,0)</f>
        <v/>
      </c>
      <c r="AA12" s="17">
        <f>X12*M12</f>
        <v/>
      </c>
      <c r="AB12" s="17">
        <f>AA12*O12</f>
        <v/>
      </c>
      <c r="AC12" s="20">
        <f>IF(U12&gt;0,AB12/U12,0)</f>
        <v/>
      </c>
      <c r="AD12" s="20">
        <f>IF(U12&gt;0,Y12*O12/U12,0)</f>
        <v/>
      </c>
      <c r="AE12" s="18">
        <f>IF(P12&gt;0,AB12/P12-1,0)</f>
        <v/>
      </c>
      <c r="AF12" s="18">
        <f>IF(G12&gt;0,U12/G12-1,0)</f>
        <v/>
      </c>
      <c r="AG12" s="17">
        <f>IF(W12&gt;0,U12/W12,0)</f>
        <v/>
      </c>
      <c r="AH12" t="inlineStr">
        <is>
          <t>agente_voz</t>
        </is>
      </c>
    </row>
    <row r="13">
      <c r="A13" s="15" t="inlineStr">
        <is>
          <t>Giro (Não CPC)</t>
        </is>
      </c>
      <c r="B13" s="15" t="inlineStr">
        <is>
          <t>Discador</t>
        </is>
      </c>
      <c r="C13" s="15" t="inlineStr">
        <is>
          <t>Voz</t>
        </is>
      </c>
      <c r="D13" s="15" t="inlineStr">
        <is>
          <t>sim</t>
        </is>
      </c>
      <c r="E13" s="16" t="n">
        <v>745</v>
      </c>
      <c r="F13" s="17">
        <f>IFERROR(INDEX(Premissas!$D$4:$D$9,MATCH($AH13,Premissas!$B$4:$B$9,0)),0)</f>
        <v/>
      </c>
      <c r="G13" s="17">
        <f>E13*F13</f>
        <v/>
      </c>
      <c r="H13" s="18">
        <f>IFERROR(INDEX(Premissas!$C$4:$C$9,MATCH($AH13,Premissas!$B$4:$B$9,0)),0)</f>
        <v/>
      </c>
      <c r="I13" s="19">
        <f>E13*H13</f>
        <v/>
      </c>
      <c r="J13" s="18">
        <f>Premissas!$C$11</f>
        <v/>
      </c>
      <c r="K13" s="19">
        <f>I13*J13</f>
        <v/>
      </c>
      <c r="L13" s="17">
        <f>Premissas!$C$12</f>
        <v/>
      </c>
      <c r="M13" s="18">
        <f>Premissas!$C$13</f>
        <v/>
      </c>
      <c r="N13" s="17">
        <f>K13*L13*M13</f>
        <v/>
      </c>
      <c r="O13" s="18">
        <f>Premissas!$C$14</f>
        <v/>
      </c>
      <c r="P13" s="17">
        <f>N13*O13</f>
        <v/>
      </c>
      <c r="Q13" s="20">
        <f>IF(G13&gt;0,P13/G13,0)</f>
        <v/>
      </c>
      <c r="R13" s="15">
        <f>IF(Q13&gt;=Premissas!$C$15,"Aprovação direta",IF(Q13&gt;=Premissas!$C$16,"Aprova com plano","Reprova ou justificar"))</f>
        <v/>
      </c>
      <c r="S13" s="17">
        <f>IF(K13&gt;0,G13/K13,0)</f>
        <v/>
      </c>
      <c r="T13" s="21" t="n">
        <v>745</v>
      </c>
      <c r="U13" s="17" t="n">
        <v>260.75</v>
      </c>
      <c r="V13" s="21" t="n">
        <v>18</v>
      </c>
      <c r="W13" s="21" t="n">
        <v>7</v>
      </c>
      <c r="X13" s="17" t="n">
        <v>25030.45</v>
      </c>
      <c r="Y13" s="17" t="n">
        <v>20510.97</v>
      </c>
      <c r="Z13" s="18">
        <f>IF(T13&gt;0,V13/T13,0)</f>
        <v/>
      </c>
      <c r="AA13" s="17">
        <f>X13*M13</f>
        <v/>
      </c>
      <c r="AB13" s="17">
        <f>AA13*O13</f>
        <v/>
      </c>
      <c r="AC13" s="20">
        <f>IF(U13&gt;0,AB13/U13,0)</f>
        <v/>
      </c>
      <c r="AD13" s="20">
        <f>IF(U13&gt;0,Y13*O13/U13,0)</f>
        <v/>
      </c>
      <c r="AE13" s="18">
        <f>IF(P13&gt;0,AB13/P13-1,0)</f>
        <v/>
      </c>
      <c r="AF13" s="18">
        <f>IF(G13&gt;0,U13/G13-1,0)</f>
        <v/>
      </c>
      <c r="AG13" s="17">
        <f>IF(W13&gt;0,U13/W13,0)</f>
        <v/>
      </c>
      <c r="AH13" t="inlineStr">
        <is>
          <t>discador</t>
        </is>
      </c>
    </row>
    <row r="14">
      <c r="A14" s="15" t="inlineStr">
        <is>
          <t>Giro (Não CPC)</t>
        </is>
      </c>
      <c r="B14" s="15" t="inlineStr">
        <is>
          <t>SMS</t>
        </is>
      </c>
      <c r="C14" s="15" t="inlineStr">
        <is>
          <t>Digital</t>
        </is>
      </c>
      <c r="D14" s="15" t="inlineStr">
        <is>
          <t>sim</t>
        </is>
      </c>
      <c r="E14" s="16" t="n">
        <v>604</v>
      </c>
      <c r="F14" s="17">
        <f>IFERROR(INDEX(Premissas!$D$4:$D$9,MATCH($AH14,Premissas!$B$4:$B$9,0)),0)</f>
        <v/>
      </c>
      <c r="G14" s="17">
        <f>E14*F14</f>
        <v/>
      </c>
      <c r="H14" s="18">
        <f>IFERROR(INDEX(Premissas!$C$4:$C$9,MATCH($AH14,Premissas!$B$4:$B$9,0)),0)</f>
        <v/>
      </c>
      <c r="I14" s="19">
        <f>E14*H14</f>
        <v/>
      </c>
      <c r="J14" s="18">
        <f>Premissas!$C$11</f>
        <v/>
      </c>
      <c r="K14" s="19">
        <f>I14*J14</f>
        <v/>
      </c>
      <c r="L14" s="17">
        <f>Premissas!$C$12</f>
        <v/>
      </c>
      <c r="M14" s="18">
        <f>Premissas!$C$13</f>
        <v/>
      </c>
      <c r="N14" s="17">
        <f>K14*L14*M14</f>
        <v/>
      </c>
      <c r="O14" s="18">
        <f>Premissas!$C$14</f>
        <v/>
      </c>
      <c r="P14" s="17">
        <f>N14*O14</f>
        <v/>
      </c>
      <c r="Q14" s="20">
        <f>IF(G14&gt;0,P14/G14,0)</f>
        <v/>
      </c>
      <c r="R14" s="15">
        <f>IF(Q14&gt;=Premissas!$C$15,"Aprovação direta",IF(Q14&gt;=Premissas!$C$16,"Aprova com plano","Reprova ou justificar"))</f>
        <v/>
      </c>
      <c r="S14" s="17">
        <f>IF(K14&gt;0,G14/K14,0)</f>
        <v/>
      </c>
      <c r="T14" s="21" t="n">
        <v>604</v>
      </c>
      <c r="U14" s="17" t="n">
        <v>42.28</v>
      </c>
      <c r="V14" s="21" t="n">
        <v>10</v>
      </c>
      <c r="W14" s="21" t="n">
        <v>5</v>
      </c>
      <c r="X14" s="17" t="n">
        <v>12784.58</v>
      </c>
      <c r="Y14" s="17" t="n">
        <v>4022.43</v>
      </c>
      <c r="Z14" s="18">
        <f>IF(T14&gt;0,V14/T14,0)</f>
        <v/>
      </c>
      <c r="AA14" s="17">
        <f>X14*M14</f>
        <v/>
      </c>
      <c r="AB14" s="17">
        <f>AA14*O14</f>
        <v/>
      </c>
      <c r="AC14" s="20">
        <f>IF(U14&gt;0,AB14/U14,0)</f>
        <v/>
      </c>
      <c r="AD14" s="20">
        <f>IF(U14&gt;0,Y14*O14/U14,0)</f>
        <v/>
      </c>
      <c r="AE14" s="18">
        <f>IF(P14&gt;0,AB14/P14-1,0)</f>
        <v/>
      </c>
      <c r="AF14" s="18">
        <f>IF(G14&gt;0,U14/G14-1,0)</f>
        <v/>
      </c>
      <c r="AG14" s="17">
        <f>IF(W14&gt;0,U14/W14,0)</f>
        <v/>
      </c>
      <c r="AH14" t="inlineStr">
        <is>
          <t>sms</t>
        </is>
      </c>
    </row>
    <row r="15">
      <c r="A15" s="15" t="inlineStr">
        <is>
          <t>Giro (Não CPC)</t>
        </is>
      </c>
      <c r="B15" s="15" t="inlineStr">
        <is>
          <t>E-mail</t>
        </is>
      </c>
      <c r="C15" s="15" t="inlineStr">
        <is>
          <t>Digital</t>
        </is>
      </c>
      <c r="D15" s="15" t="inlineStr">
        <is>
          <t>sim</t>
        </is>
      </c>
      <c r="E15" s="16" t="n">
        <v>236</v>
      </c>
      <c r="F15" s="17">
        <f>IFERROR(INDEX(Premissas!$D$4:$D$9,MATCH($AH15,Premissas!$B$4:$B$9,0)),0)</f>
        <v/>
      </c>
      <c r="G15" s="17">
        <f>E15*F15</f>
        <v/>
      </c>
      <c r="H15" s="18">
        <f>IFERROR(INDEX(Premissas!$C$4:$C$9,MATCH($AH15,Premissas!$B$4:$B$9,0)),0)</f>
        <v/>
      </c>
      <c r="I15" s="19">
        <f>E15*H15</f>
        <v/>
      </c>
      <c r="J15" s="18">
        <f>Premissas!$C$11</f>
        <v/>
      </c>
      <c r="K15" s="19">
        <f>I15*J15</f>
        <v/>
      </c>
      <c r="L15" s="17">
        <f>Premissas!$C$12</f>
        <v/>
      </c>
      <c r="M15" s="18">
        <f>Premissas!$C$13</f>
        <v/>
      </c>
      <c r="N15" s="17">
        <f>K15*L15*M15</f>
        <v/>
      </c>
      <c r="O15" s="18">
        <f>Premissas!$C$14</f>
        <v/>
      </c>
      <c r="P15" s="17">
        <f>N15*O15</f>
        <v/>
      </c>
      <c r="Q15" s="20">
        <f>IF(G15&gt;0,P15/G15,0)</f>
        <v/>
      </c>
      <c r="R15" s="15">
        <f>IF(Q15&gt;=Premissas!$C$15,"Aprovação direta",IF(Q15&gt;=Premissas!$C$16,"Aprova com plano","Reprova ou justificar"))</f>
        <v/>
      </c>
      <c r="S15" s="17">
        <f>IF(K15&gt;0,G15/K15,0)</f>
        <v/>
      </c>
      <c r="T15" s="21" t="n">
        <v>236</v>
      </c>
      <c r="U15" s="17" t="n">
        <v>2.36</v>
      </c>
      <c r="V15" s="21" t="n">
        <v>5</v>
      </c>
      <c r="W15" s="21" t="n">
        <v>1</v>
      </c>
      <c r="X15" s="17" t="n">
        <v>522.8099999999999</v>
      </c>
      <c r="Y15" s="17" t="n">
        <v>174.27</v>
      </c>
      <c r="Z15" s="18">
        <f>IF(T15&gt;0,V15/T15,0)</f>
        <v/>
      </c>
      <c r="AA15" s="17">
        <f>X15*M15</f>
        <v/>
      </c>
      <c r="AB15" s="17">
        <f>AA15*O15</f>
        <v/>
      </c>
      <c r="AC15" s="20">
        <f>IF(U15&gt;0,AB15/U15,0)</f>
        <v/>
      </c>
      <c r="AD15" s="20">
        <f>IF(U15&gt;0,Y15*O15/U15,0)</f>
        <v/>
      </c>
      <c r="AE15" s="18">
        <f>IF(P15&gt;0,AB15/P15-1,0)</f>
        <v/>
      </c>
      <c r="AF15" s="18">
        <f>IF(G15&gt;0,U15/G15-1,0)</f>
        <v/>
      </c>
      <c r="AG15" s="17">
        <f>IF(W15&gt;0,U15/W15,0)</f>
        <v/>
      </c>
      <c r="AH15" t="inlineStr">
        <is>
          <t>email</t>
        </is>
      </c>
    </row>
    <row r="16">
      <c r="A16" s="15" t="inlineStr">
        <is>
          <t>CPC / rotação</t>
        </is>
      </c>
      <c r="B16" s="15" t="inlineStr">
        <is>
          <t>WhatsApp</t>
        </is>
      </c>
      <c r="C16" s="15" t="inlineStr">
        <is>
          <t>Digital</t>
        </is>
      </c>
      <c r="D16" s="15" t="inlineStr">
        <is>
          <t>sim</t>
        </is>
      </c>
      <c r="E16" s="16" t="n">
        <v>205</v>
      </c>
      <c r="F16" s="17">
        <f>IFERROR(INDEX(Premissas!$D$4:$D$9,MATCH($AH16,Premissas!$B$4:$B$9,0)),0)</f>
        <v/>
      </c>
      <c r="G16" s="17">
        <f>E16*F16</f>
        <v/>
      </c>
      <c r="H16" s="18">
        <f>IFERROR(INDEX(Premissas!$C$4:$C$9,MATCH($AH16,Premissas!$B$4:$B$9,0)),0)</f>
        <v/>
      </c>
      <c r="I16" s="19">
        <f>E16*H16</f>
        <v/>
      </c>
      <c r="J16" s="18">
        <f>Premissas!$C$11</f>
        <v/>
      </c>
      <c r="K16" s="19">
        <f>I16*J16</f>
        <v/>
      </c>
      <c r="L16" s="17">
        <f>Premissas!$C$12</f>
        <v/>
      </c>
      <c r="M16" s="18">
        <f>Premissas!$C$13</f>
        <v/>
      </c>
      <c r="N16" s="17">
        <f>K16*L16*M16</f>
        <v/>
      </c>
      <c r="O16" s="18">
        <f>Premissas!$C$14</f>
        <v/>
      </c>
      <c r="P16" s="17">
        <f>N16*O16</f>
        <v/>
      </c>
      <c r="Q16" s="20">
        <f>IF(G16&gt;0,P16/G16,0)</f>
        <v/>
      </c>
      <c r="R16" s="15">
        <f>IF(Q16&gt;=Premissas!$C$15,"Aprovação direta",IF(Q16&gt;=Premissas!$C$16,"Aprova com plano","Reprova ou justificar"))</f>
        <v/>
      </c>
      <c r="S16" s="17">
        <f>IF(K16&gt;0,G16/K16,0)</f>
        <v/>
      </c>
      <c r="T16" s="21" t="n">
        <v>205</v>
      </c>
      <c r="U16" s="17" t="n">
        <v>61.5</v>
      </c>
      <c r="V16" s="21" t="n">
        <v>61</v>
      </c>
      <c r="W16" s="21" t="n">
        <v>22</v>
      </c>
      <c r="X16" s="17" t="n">
        <v>67352.98</v>
      </c>
      <c r="Y16" s="17" t="n">
        <v>23381.39</v>
      </c>
      <c r="Z16" s="18">
        <f>IF(T16&gt;0,V16/T16,0)</f>
        <v/>
      </c>
      <c r="AA16" s="17">
        <f>X16*M16</f>
        <v/>
      </c>
      <c r="AB16" s="17">
        <f>AA16*O16</f>
        <v/>
      </c>
      <c r="AC16" s="20">
        <f>IF(U16&gt;0,AB16/U16,0)</f>
        <v/>
      </c>
      <c r="AD16" s="20">
        <f>IF(U16&gt;0,Y16*O16/U16,0)</f>
        <v/>
      </c>
      <c r="AE16" s="18">
        <f>IF(P16&gt;0,AB16/P16-1,0)</f>
        <v/>
      </c>
      <c r="AF16" s="18">
        <f>IF(G16&gt;0,U16/G16-1,0)</f>
        <v/>
      </c>
      <c r="AG16" s="17">
        <f>IF(W16&gt;0,U16/W16,0)</f>
        <v/>
      </c>
      <c r="AH16" t="inlineStr">
        <is>
          <t>whatsapp</t>
        </is>
      </c>
    </row>
    <row r="17">
      <c r="A17" s="15" t="inlineStr">
        <is>
          <t>CPC / rotação</t>
        </is>
      </c>
      <c r="B17" s="15" t="inlineStr">
        <is>
          <t>RCS</t>
        </is>
      </c>
      <c r="C17" s="15" t="inlineStr">
        <is>
          <t>Digital</t>
        </is>
      </c>
      <c r="D17" s="15" t="inlineStr">
        <is>
          <t>sim</t>
        </is>
      </c>
      <c r="E17" s="16" t="n">
        <v>205</v>
      </c>
      <c r="F17" s="17">
        <f>IFERROR(INDEX(Premissas!$D$4:$D$9,MATCH($AH17,Premissas!$B$4:$B$9,0)),0)</f>
        <v/>
      </c>
      <c r="G17" s="17">
        <f>E17*F17</f>
        <v/>
      </c>
      <c r="H17" s="18">
        <f>IFERROR(INDEX(Premissas!$C$4:$C$9,MATCH($AH17,Premissas!$B$4:$B$9,0)),0)</f>
        <v/>
      </c>
      <c r="I17" s="19">
        <f>E17*H17</f>
        <v/>
      </c>
      <c r="J17" s="18">
        <f>Premissas!$C$11</f>
        <v/>
      </c>
      <c r="K17" s="19">
        <f>I17*J17</f>
        <v/>
      </c>
      <c r="L17" s="17">
        <f>Premissas!$C$12</f>
        <v/>
      </c>
      <c r="M17" s="18">
        <f>Premissas!$C$13</f>
        <v/>
      </c>
      <c r="N17" s="17">
        <f>K17*L17*M17</f>
        <v/>
      </c>
      <c r="O17" s="18">
        <f>Premissas!$C$14</f>
        <v/>
      </c>
      <c r="P17" s="17">
        <f>N17*O17</f>
        <v/>
      </c>
      <c r="Q17" s="20">
        <f>IF(G17&gt;0,P17/G17,0)</f>
        <v/>
      </c>
      <c r="R17" s="15">
        <f>IF(Q17&gt;=Premissas!$C$15,"Aprovação direta",IF(Q17&gt;=Premissas!$C$16,"Aprova com plano","Reprova ou justificar"))</f>
        <v/>
      </c>
      <c r="S17" s="17">
        <f>IF(K17&gt;0,G17/K17,0)</f>
        <v/>
      </c>
      <c r="T17" s="21" t="n">
        <v>205</v>
      </c>
      <c r="U17" s="17" t="n">
        <v>24.6</v>
      </c>
      <c r="V17" s="21" t="n">
        <v>36</v>
      </c>
      <c r="W17" s="21" t="n">
        <v>15</v>
      </c>
      <c r="X17" s="17" t="n">
        <v>16154.27</v>
      </c>
      <c r="Y17" s="17" t="n">
        <v>4925.57</v>
      </c>
      <c r="Z17" s="18">
        <f>IF(T17&gt;0,V17/T17,0)</f>
        <v/>
      </c>
      <c r="AA17" s="17">
        <f>X17*M17</f>
        <v/>
      </c>
      <c r="AB17" s="17">
        <f>AA17*O17</f>
        <v/>
      </c>
      <c r="AC17" s="20">
        <f>IF(U17&gt;0,AB17/U17,0)</f>
        <v/>
      </c>
      <c r="AD17" s="20">
        <f>IF(U17&gt;0,Y17*O17/U17,0)</f>
        <v/>
      </c>
      <c r="AE17" s="18">
        <f>IF(P17&gt;0,AB17/P17-1,0)</f>
        <v/>
      </c>
      <c r="AF17" s="18">
        <f>IF(G17&gt;0,U17/G17-1,0)</f>
        <v/>
      </c>
      <c r="AG17" s="17">
        <f>IF(W17&gt;0,U17/W17,0)</f>
        <v/>
      </c>
      <c r="AH17" t="inlineStr">
        <is>
          <t>rcs</t>
        </is>
      </c>
    </row>
    <row r="18">
      <c r="A18" s="15" t="inlineStr">
        <is>
          <t>CPC / rotação</t>
        </is>
      </c>
      <c r="B18" s="15" t="inlineStr">
        <is>
          <t>Agente virtual</t>
        </is>
      </c>
      <c r="C18" s="15" t="inlineStr">
        <is>
          <t>Voz</t>
        </is>
      </c>
      <c r="D18" s="15" t="inlineStr">
        <is>
          <t>sim</t>
        </is>
      </c>
      <c r="E18" s="16" t="n">
        <v>365</v>
      </c>
      <c r="F18" s="17">
        <f>IFERROR(INDEX(Premissas!$D$4:$D$9,MATCH($AH18,Premissas!$B$4:$B$9,0)),0)</f>
        <v/>
      </c>
      <c r="G18" s="17">
        <f>E18*F18</f>
        <v/>
      </c>
      <c r="H18" s="18">
        <f>IFERROR(INDEX(Premissas!$C$4:$C$9,MATCH($AH18,Premissas!$B$4:$B$9,0)),0)</f>
        <v/>
      </c>
      <c r="I18" s="19">
        <f>E18*H18</f>
        <v/>
      </c>
      <c r="J18" s="18">
        <f>Premissas!$C$11</f>
        <v/>
      </c>
      <c r="K18" s="19">
        <f>I18*J18</f>
        <v/>
      </c>
      <c r="L18" s="17">
        <f>Premissas!$C$12</f>
        <v/>
      </c>
      <c r="M18" s="18">
        <f>Premissas!$C$13</f>
        <v/>
      </c>
      <c r="N18" s="17">
        <f>K18*L18*M18</f>
        <v/>
      </c>
      <c r="O18" s="18">
        <f>Premissas!$C$14</f>
        <v/>
      </c>
      <c r="P18" s="17">
        <f>N18*O18</f>
        <v/>
      </c>
      <c r="Q18" s="20">
        <f>IF(G18&gt;0,P18/G18,0)</f>
        <v/>
      </c>
      <c r="R18" s="15">
        <f>IF(Q18&gt;=Premissas!$C$15,"Aprovação direta",IF(Q18&gt;=Premissas!$C$16,"Aprova com plano","Reprova ou justificar"))</f>
        <v/>
      </c>
      <c r="S18" s="17">
        <f>IF(K18&gt;0,G18/K18,0)</f>
        <v/>
      </c>
      <c r="T18" s="21" t="n">
        <v>365</v>
      </c>
      <c r="U18" s="17" t="n">
        <v>43.8</v>
      </c>
      <c r="V18" s="21" t="n">
        <v>26</v>
      </c>
      <c r="W18" s="21" t="n">
        <v>7</v>
      </c>
      <c r="X18" s="17" t="n">
        <v>34355.78</v>
      </c>
      <c r="Y18" s="17" t="n">
        <v>6100.92</v>
      </c>
      <c r="Z18" s="18">
        <f>IF(T18&gt;0,V18/T18,0)</f>
        <v/>
      </c>
      <c r="AA18" s="17">
        <f>X18*M18</f>
        <v/>
      </c>
      <c r="AB18" s="17">
        <f>AA18*O18</f>
        <v/>
      </c>
      <c r="AC18" s="20">
        <f>IF(U18&gt;0,AB18/U18,0)</f>
        <v/>
      </c>
      <c r="AD18" s="20">
        <f>IF(U18&gt;0,Y18*O18/U18,0)</f>
        <v/>
      </c>
      <c r="AE18" s="18">
        <f>IF(P18&gt;0,AB18/P18-1,0)</f>
        <v/>
      </c>
      <c r="AF18" s="18">
        <f>IF(G18&gt;0,U18/G18-1,0)</f>
        <v/>
      </c>
      <c r="AG18" s="17">
        <f>IF(W18&gt;0,U18/W18,0)</f>
        <v/>
      </c>
      <c r="AH18" t="inlineStr">
        <is>
          <t>agente_voz</t>
        </is>
      </c>
    </row>
    <row r="19">
      <c r="A19" s="15" t="inlineStr">
        <is>
          <t>CPC / rotação</t>
        </is>
      </c>
      <c r="B19" s="15" t="inlineStr">
        <is>
          <t>Discador</t>
        </is>
      </c>
      <c r="C19" s="15" t="inlineStr">
        <is>
          <t>Voz</t>
        </is>
      </c>
      <c r="D19" s="15" t="inlineStr">
        <is>
          <t>sim</t>
        </is>
      </c>
      <c r="E19" s="16" t="n">
        <v>623</v>
      </c>
      <c r="F19" s="17">
        <f>IFERROR(INDEX(Premissas!$D$4:$D$9,MATCH($AH19,Premissas!$B$4:$B$9,0)),0)</f>
        <v/>
      </c>
      <c r="G19" s="17">
        <f>E19*F19</f>
        <v/>
      </c>
      <c r="H19" s="18">
        <f>IFERROR(INDEX(Premissas!$C$4:$C$9,MATCH($AH19,Premissas!$B$4:$B$9,0)),0)</f>
        <v/>
      </c>
      <c r="I19" s="19">
        <f>E19*H19</f>
        <v/>
      </c>
      <c r="J19" s="18">
        <f>Premissas!$C$11</f>
        <v/>
      </c>
      <c r="K19" s="19">
        <f>I19*J19</f>
        <v/>
      </c>
      <c r="L19" s="17">
        <f>Premissas!$C$12</f>
        <v/>
      </c>
      <c r="M19" s="18">
        <f>Premissas!$C$13</f>
        <v/>
      </c>
      <c r="N19" s="17">
        <f>K19*L19*M19</f>
        <v/>
      </c>
      <c r="O19" s="18">
        <f>Premissas!$C$14</f>
        <v/>
      </c>
      <c r="P19" s="17">
        <f>N19*O19</f>
        <v/>
      </c>
      <c r="Q19" s="20">
        <f>IF(G19&gt;0,P19/G19,0)</f>
        <v/>
      </c>
      <c r="R19" s="15">
        <f>IF(Q19&gt;=Premissas!$C$15,"Aprovação direta",IF(Q19&gt;=Premissas!$C$16,"Aprova com plano","Reprova ou justificar"))</f>
        <v/>
      </c>
      <c r="S19" s="17">
        <f>IF(K19&gt;0,G19/K19,0)</f>
        <v/>
      </c>
      <c r="T19" s="21" t="n">
        <v>623</v>
      </c>
      <c r="U19" s="17" t="n">
        <v>218.05</v>
      </c>
      <c r="V19" s="21" t="n">
        <v>26</v>
      </c>
      <c r="W19" s="21" t="n">
        <v>7</v>
      </c>
      <c r="X19" s="17" t="n">
        <v>18003.99</v>
      </c>
      <c r="Y19" s="17" t="n">
        <v>3624.74</v>
      </c>
      <c r="Z19" s="18">
        <f>IF(T19&gt;0,V19/T19,0)</f>
        <v/>
      </c>
      <c r="AA19" s="17">
        <f>X19*M19</f>
        <v/>
      </c>
      <c r="AB19" s="17">
        <f>AA19*O19</f>
        <v/>
      </c>
      <c r="AC19" s="20">
        <f>IF(U19&gt;0,AB19/U19,0)</f>
        <v/>
      </c>
      <c r="AD19" s="20">
        <f>IF(U19&gt;0,Y19*O19/U19,0)</f>
        <v/>
      </c>
      <c r="AE19" s="18">
        <f>IF(P19&gt;0,AB19/P19-1,0)</f>
        <v/>
      </c>
      <c r="AF19" s="18">
        <f>IF(G19&gt;0,U19/G19-1,0)</f>
        <v/>
      </c>
      <c r="AG19" s="17">
        <f>IF(W19&gt;0,U19/W19,0)</f>
        <v/>
      </c>
      <c r="AH19" t="inlineStr">
        <is>
          <t>discador</t>
        </is>
      </c>
    </row>
    <row r="20">
      <c r="A20" s="15" t="inlineStr">
        <is>
          <t>CPC / rotação</t>
        </is>
      </c>
      <c r="B20" s="15" t="inlineStr">
        <is>
          <t>SMS</t>
        </is>
      </c>
      <c r="C20" s="15" t="inlineStr">
        <is>
          <t>Digital</t>
        </is>
      </c>
      <c r="D20" s="15" t="inlineStr">
        <is>
          <t>sim</t>
        </is>
      </c>
      <c r="E20" s="16" t="n">
        <v>172</v>
      </c>
      <c r="F20" s="17">
        <f>IFERROR(INDEX(Premissas!$D$4:$D$9,MATCH($AH20,Premissas!$B$4:$B$9,0)),0)</f>
        <v/>
      </c>
      <c r="G20" s="17">
        <f>E20*F20</f>
        <v/>
      </c>
      <c r="H20" s="18">
        <f>IFERROR(INDEX(Premissas!$C$4:$C$9,MATCH($AH20,Premissas!$B$4:$B$9,0)),0)</f>
        <v/>
      </c>
      <c r="I20" s="19">
        <f>E20*H20</f>
        <v/>
      </c>
      <c r="J20" s="18">
        <f>Premissas!$C$11</f>
        <v/>
      </c>
      <c r="K20" s="19">
        <f>I20*J20</f>
        <v/>
      </c>
      <c r="L20" s="17">
        <f>Premissas!$C$12</f>
        <v/>
      </c>
      <c r="M20" s="18">
        <f>Premissas!$C$13</f>
        <v/>
      </c>
      <c r="N20" s="17">
        <f>K20*L20*M20</f>
        <v/>
      </c>
      <c r="O20" s="18">
        <f>Premissas!$C$14</f>
        <v/>
      </c>
      <c r="P20" s="17">
        <f>N20*O20</f>
        <v/>
      </c>
      <c r="Q20" s="20">
        <f>IF(G20&gt;0,P20/G20,0)</f>
        <v/>
      </c>
      <c r="R20" s="15">
        <f>IF(Q20&gt;=Premissas!$C$15,"Aprovação direta",IF(Q20&gt;=Premissas!$C$16,"Aprova com plano","Reprova ou justificar"))</f>
        <v/>
      </c>
      <c r="S20" s="17">
        <f>IF(K20&gt;0,G20/K20,0)</f>
        <v/>
      </c>
      <c r="T20" s="21" t="n">
        <v>172</v>
      </c>
      <c r="U20" s="17" t="n">
        <v>12.04</v>
      </c>
      <c r="V20" s="21" t="n">
        <v>5</v>
      </c>
      <c r="W20" s="21" t="n">
        <v>1</v>
      </c>
      <c r="X20" s="17" t="n">
        <v>11606.94</v>
      </c>
      <c r="Y20" s="17" t="n">
        <v>3868.98</v>
      </c>
      <c r="Z20" s="18">
        <f>IF(T20&gt;0,V20/T20,0)</f>
        <v/>
      </c>
      <c r="AA20" s="17">
        <f>X20*M20</f>
        <v/>
      </c>
      <c r="AB20" s="17">
        <f>AA20*O20</f>
        <v/>
      </c>
      <c r="AC20" s="20">
        <f>IF(U20&gt;0,AB20/U20,0)</f>
        <v/>
      </c>
      <c r="AD20" s="20">
        <f>IF(U20&gt;0,Y20*O20/U20,0)</f>
        <v/>
      </c>
      <c r="AE20" s="18">
        <f>IF(P20&gt;0,AB20/P20-1,0)</f>
        <v/>
      </c>
      <c r="AF20" s="18">
        <f>IF(G20&gt;0,U20/G20-1,0)</f>
        <v/>
      </c>
      <c r="AG20" s="17">
        <f>IF(W20&gt;0,U20/W20,0)</f>
        <v/>
      </c>
      <c r="AH20" t="inlineStr">
        <is>
          <t>sms</t>
        </is>
      </c>
    </row>
    <row r="21">
      <c r="A21" s="15" t="inlineStr">
        <is>
          <t>CPC / rotação</t>
        </is>
      </c>
      <c r="B21" s="15" t="inlineStr">
        <is>
          <t>E-mail</t>
        </is>
      </c>
      <c r="C21" s="15" t="inlineStr">
        <is>
          <t>Digital</t>
        </is>
      </c>
      <c r="D21" s="15" t="inlineStr">
        <is>
          <t>sim</t>
        </is>
      </c>
      <c r="E21" s="16" t="n">
        <v>117</v>
      </c>
      <c r="F21" s="17">
        <f>IFERROR(INDEX(Premissas!$D$4:$D$9,MATCH($AH21,Premissas!$B$4:$B$9,0)),0)</f>
        <v/>
      </c>
      <c r="G21" s="17">
        <f>E21*F21</f>
        <v/>
      </c>
      <c r="H21" s="18">
        <f>IFERROR(INDEX(Premissas!$C$4:$C$9,MATCH($AH21,Premissas!$B$4:$B$9,0)),0)</f>
        <v/>
      </c>
      <c r="I21" s="19">
        <f>E21*H21</f>
        <v/>
      </c>
      <c r="J21" s="18">
        <f>Premissas!$C$11</f>
        <v/>
      </c>
      <c r="K21" s="19">
        <f>I21*J21</f>
        <v/>
      </c>
      <c r="L21" s="17">
        <f>Premissas!$C$12</f>
        <v/>
      </c>
      <c r="M21" s="18">
        <f>Premissas!$C$13</f>
        <v/>
      </c>
      <c r="N21" s="17">
        <f>K21*L21*M21</f>
        <v/>
      </c>
      <c r="O21" s="18">
        <f>Premissas!$C$14</f>
        <v/>
      </c>
      <c r="P21" s="17">
        <f>N21*O21</f>
        <v/>
      </c>
      <c r="Q21" s="20">
        <f>IF(G21&gt;0,P21/G21,0)</f>
        <v/>
      </c>
      <c r="R21" s="15">
        <f>IF(Q21&gt;=Premissas!$C$15,"Aprovação direta",IF(Q21&gt;=Premissas!$C$16,"Aprova com plano","Reprova ou justificar"))</f>
        <v/>
      </c>
      <c r="S21" s="17">
        <f>IF(K21&gt;0,G21/K21,0)</f>
        <v/>
      </c>
      <c r="T21" s="21" t="n">
        <v>117</v>
      </c>
      <c r="U21" s="17" t="n">
        <v>1.17</v>
      </c>
      <c r="V21" s="21" t="n">
        <v>2</v>
      </c>
      <c r="W21" s="21" t="n">
        <v>0</v>
      </c>
      <c r="X21" s="17" t="n">
        <v>0</v>
      </c>
      <c r="Y21" s="17" t="n">
        <v>0</v>
      </c>
      <c r="Z21" s="18">
        <f>IF(T21&gt;0,V21/T21,0)</f>
        <v/>
      </c>
      <c r="AA21" s="17">
        <f>X21*M21</f>
        <v/>
      </c>
      <c r="AB21" s="17">
        <f>AA21*O21</f>
        <v/>
      </c>
      <c r="AC21" s="20">
        <f>IF(U21&gt;0,AB21/U21,0)</f>
        <v/>
      </c>
      <c r="AD21" s="20">
        <f>IF(U21&gt;0,Y21*O21/U21,0)</f>
        <v/>
      </c>
      <c r="AE21" s="18">
        <f>IF(P21&gt;0,AB21/P21-1,0)</f>
        <v/>
      </c>
      <c r="AF21" s="18">
        <f>IF(G21&gt;0,U21/G21-1,0)</f>
        <v/>
      </c>
      <c r="AG21" s="17">
        <f>IF(W21&gt;0,U21/W21,0)</f>
        <v/>
      </c>
      <c r="AH21" t="inlineStr">
        <is>
          <t>email</t>
        </is>
      </c>
    </row>
    <row r="22">
      <c r="A22" s="15" t="inlineStr">
        <is>
          <t>Preventivo / colchão</t>
        </is>
      </c>
      <c r="B22" s="15" t="inlineStr">
        <is>
          <t>WhatsApp</t>
        </is>
      </c>
      <c r="C22" s="15" t="inlineStr">
        <is>
          <t>Digital</t>
        </is>
      </c>
      <c r="D22" s="15" t="inlineStr">
        <is>
          <t>sim</t>
        </is>
      </c>
      <c r="E22" s="16" t="n">
        <v>21</v>
      </c>
      <c r="F22" s="17">
        <f>IFERROR(INDEX(Premissas!$D$4:$D$9,MATCH($AH22,Premissas!$B$4:$B$9,0)),0)</f>
        <v/>
      </c>
      <c r="G22" s="17">
        <f>E22*F22</f>
        <v/>
      </c>
      <c r="H22" s="18">
        <f>IFERROR(INDEX(Premissas!$C$4:$C$9,MATCH($AH22,Premissas!$B$4:$B$9,0)),0)</f>
        <v/>
      </c>
      <c r="I22" s="19">
        <f>E22*H22</f>
        <v/>
      </c>
      <c r="J22" s="18">
        <f>Premissas!$C$11</f>
        <v/>
      </c>
      <c r="K22" s="19">
        <f>I22*J22</f>
        <v/>
      </c>
      <c r="L22" s="17">
        <f>Premissas!$C$12</f>
        <v/>
      </c>
      <c r="M22" s="18">
        <f>Premissas!$C$13</f>
        <v/>
      </c>
      <c r="N22" s="17">
        <f>K22*L22*M22</f>
        <v/>
      </c>
      <c r="O22" s="18">
        <f>Premissas!$C$14</f>
        <v/>
      </c>
      <c r="P22" s="17">
        <f>N22*O22</f>
        <v/>
      </c>
      <c r="Q22" s="20">
        <f>IF(G22&gt;0,P22/G22,0)</f>
        <v/>
      </c>
      <c r="R22" s="15">
        <f>IF(Q22&gt;=Premissas!$C$15,"Aprovação direta",IF(Q22&gt;=Premissas!$C$16,"Aprova com plano","Reprova ou justificar"))</f>
        <v/>
      </c>
      <c r="S22" s="17">
        <f>IF(K22&gt;0,G22/K22,0)</f>
        <v/>
      </c>
      <c r="T22" s="21" t="n">
        <v>21</v>
      </c>
      <c r="U22" s="17" t="n">
        <v>6.3</v>
      </c>
      <c r="V22" s="21" t="n">
        <v>4</v>
      </c>
      <c r="W22" s="21" t="n">
        <v>0</v>
      </c>
      <c r="X22" s="17" t="n">
        <v>0</v>
      </c>
      <c r="Y22" s="17" t="n">
        <v>0</v>
      </c>
      <c r="Z22" s="18">
        <f>IF(T22&gt;0,V22/T22,0)</f>
        <v/>
      </c>
      <c r="AA22" s="17">
        <f>X22*M22</f>
        <v/>
      </c>
      <c r="AB22" s="17">
        <f>AA22*O22</f>
        <v/>
      </c>
      <c r="AC22" s="20">
        <f>IF(U22&gt;0,AB22/U22,0)</f>
        <v/>
      </c>
      <c r="AD22" s="20">
        <f>IF(U22&gt;0,Y22*O22/U22,0)</f>
        <v/>
      </c>
      <c r="AE22" s="18">
        <f>IF(P22&gt;0,AB22/P22-1,0)</f>
        <v/>
      </c>
      <c r="AF22" s="18">
        <f>IF(G22&gt;0,U22/G22-1,0)</f>
        <v/>
      </c>
      <c r="AG22" s="17">
        <f>IF(W22&gt;0,U22/W22,0)</f>
        <v/>
      </c>
      <c r="AH22" t="inlineStr">
        <is>
          <t>whatsapp</t>
        </is>
      </c>
    </row>
    <row r="23">
      <c r="A23" s="15" t="inlineStr">
        <is>
          <t>Preventivo / colchão</t>
        </is>
      </c>
      <c r="B23" s="15" t="inlineStr">
        <is>
          <t>RCS</t>
        </is>
      </c>
      <c r="C23" s="15" t="inlineStr">
        <is>
          <t>Digital</t>
        </is>
      </c>
      <c r="D23" s="15" t="inlineStr">
        <is>
          <t>sim</t>
        </is>
      </c>
      <c r="E23" s="16" t="n">
        <v>51</v>
      </c>
      <c r="F23" s="17">
        <f>IFERROR(INDEX(Premissas!$D$4:$D$9,MATCH($AH23,Premissas!$B$4:$B$9,0)),0)</f>
        <v/>
      </c>
      <c r="G23" s="17">
        <f>E23*F23</f>
        <v/>
      </c>
      <c r="H23" s="18">
        <f>IFERROR(INDEX(Premissas!$C$4:$C$9,MATCH($AH23,Premissas!$B$4:$B$9,0)),0)</f>
        <v/>
      </c>
      <c r="I23" s="19">
        <f>E23*H23</f>
        <v/>
      </c>
      <c r="J23" s="18">
        <f>Premissas!$C$11</f>
        <v/>
      </c>
      <c r="K23" s="19">
        <f>I23*J23</f>
        <v/>
      </c>
      <c r="L23" s="17">
        <f>Premissas!$C$12</f>
        <v/>
      </c>
      <c r="M23" s="18">
        <f>Premissas!$C$13</f>
        <v/>
      </c>
      <c r="N23" s="17">
        <f>K23*L23*M23</f>
        <v/>
      </c>
      <c r="O23" s="18">
        <f>Premissas!$C$14</f>
        <v/>
      </c>
      <c r="P23" s="17">
        <f>N23*O23</f>
        <v/>
      </c>
      <c r="Q23" s="20">
        <f>IF(G23&gt;0,P23/G23,0)</f>
        <v/>
      </c>
      <c r="R23" s="15">
        <f>IF(Q23&gt;=Premissas!$C$15,"Aprovação direta",IF(Q23&gt;=Premissas!$C$16,"Aprova com plano","Reprova ou justificar"))</f>
        <v/>
      </c>
      <c r="S23" s="17">
        <f>IF(K23&gt;0,G23/K23,0)</f>
        <v/>
      </c>
      <c r="T23" s="21" t="n">
        <v>51</v>
      </c>
      <c r="U23" s="17" t="n">
        <v>6.12</v>
      </c>
      <c r="V23" s="21" t="n">
        <v>9</v>
      </c>
      <c r="W23" s="21" t="n">
        <v>0</v>
      </c>
      <c r="X23" s="17" t="n">
        <v>0</v>
      </c>
      <c r="Y23" s="17" t="n">
        <v>0</v>
      </c>
      <c r="Z23" s="18">
        <f>IF(T23&gt;0,V23/T23,0)</f>
        <v/>
      </c>
      <c r="AA23" s="17">
        <f>X23*M23</f>
        <v/>
      </c>
      <c r="AB23" s="17">
        <f>AA23*O23</f>
        <v/>
      </c>
      <c r="AC23" s="20">
        <f>IF(U23&gt;0,AB23/U23,0)</f>
        <v/>
      </c>
      <c r="AD23" s="20">
        <f>IF(U23&gt;0,Y23*O23/U23,0)</f>
        <v/>
      </c>
      <c r="AE23" s="18">
        <f>IF(P23&gt;0,AB23/P23-1,0)</f>
        <v/>
      </c>
      <c r="AF23" s="18">
        <f>IF(G23&gt;0,U23/G23-1,0)</f>
        <v/>
      </c>
      <c r="AG23" s="17">
        <f>IF(W23&gt;0,U23/W23,0)</f>
        <v/>
      </c>
      <c r="AH23" t="inlineStr">
        <is>
          <t>rcs</t>
        </is>
      </c>
    </row>
    <row r="24">
      <c r="A24" s="15" t="inlineStr">
        <is>
          <t>Preventivo / colchão</t>
        </is>
      </c>
      <c r="B24" s="15" t="inlineStr">
        <is>
          <t>Discador</t>
        </is>
      </c>
      <c r="C24" s="15" t="inlineStr">
        <is>
          <t>Voz</t>
        </is>
      </c>
      <c r="D24" s="15" t="inlineStr">
        <is>
          <t>sim</t>
        </is>
      </c>
      <c r="E24" s="16" t="n">
        <v>2</v>
      </c>
      <c r="F24" s="17">
        <f>IFERROR(INDEX(Premissas!$D$4:$D$9,MATCH($AH24,Premissas!$B$4:$B$9,0)),0)</f>
        <v/>
      </c>
      <c r="G24" s="17">
        <f>E24*F24</f>
        <v/>
      </c>
      <c r="H24" s="18">
        <f>IFERROR(INDEX(Premissas!$C$4:$C$9,MATCH($AH24,Premissas!$B$4:$B$9,0)),0)</f>
        <v/>
      </c>
      <c r="I24" s="19">
        <f>E24*H24</f>
        <v/>
      </c>
      <c r="J24" s="18">
        <f>Premissas!$C$11</f>
        <v/>
      </c>
      <c r="K24" s="19">
        <f>I24*J24</f>
        <v/>
      </c>
      <c r="L24" s="17">
        <f>Premissas!$C$12</f>
        <v/>
      </c>
      <c r="M24" s="18">
        <f>Premissas!$C$13</f>
        <v/>
      </c>
      <c r="N24" s="17">
        <f>K24*L24*M24</f>
        <v/>
      </c>
      <c r="O24" s="18">
        <f>Premissas!$C$14</f>
        <v/>
      </c>
      <c r="P24" s="17">
        <f>N24*O24</f>
        <v/>
      </c>
      <c r="Q24" s="20">
        <f>IF(G24&gt;0,P24/G24,0)</f>
        <v/>
      </c>
      <c r="R24" s="15">
        <f>IF(Q24&gt;=Premissas!$C$15,"Aprovação direta",IF(Q24&gt;=Premissas!$C$16,"Aprova com plano","Reprova ou justificar"))</f>
        <v/>
      </c>
      <c r="S24" s="17">
        <f>IF(K24&gt;0,G24/K24,0)</f>
        <v/>
      </c>
      <c r="T24" s="21" t="n">
        <v>2</v>
      </c>
      <c r="U24" s="17" t="n">
        <v>0.7</v>
      </c>
      <c r="V24" s="21" t="n">
        <v>0</v>
      </c>
      <c r="W24" s="21" t="n">
        <v>0</v>
      </c>
      <c r="X24" s="17" t="n">
        <v>0</v>
      </c>
      <c r="Y24" s="17" t="n">
        <v>0</v>
      </c>
      <c r="Z24" s="18">
        <f>IF(T24&gt;0,V24/T24,0)</f>
        <v/>
      </c>
      <c r="AA24" s="17">
        <f>X24*M24</f>
        <v/>
      </c>
      <c r="AB24" s="17">
        <f>AA24*O24</f>
        <v/>
      </c>
      <c r="AC24" s="20">
        <f>IF(U24&gt;0,AB24/U24,0)</f>
        <v/>
      </c>
      <c r="AD24" s="20">
        <f>IF(U24&gt;0,Y24*O24/U24,0)</f>
        <v/>
      </c>
      <c r="AE24" s="18">
        <f>IF(P24&gt;0,AB24/P24-1,0)</f>
        <v/>
      </c>
      <c r="AF24" s="18">
        <f>IF(G24&gt;0,U24/G24-1,0)</f>
        <v/>
      </c>
      <c r="AG24" s="17">
        <f>IF(W24&gt;0,U24/W24,0)</f>
        <v/>
      </c>
      <c r="AH24" t="inlineStr">
        <is>
          <t>discador</t>
        </is>
      </c>
    </row>
    <row r="25">
      <c r="A25" s="15" t="inlineStr">
        <is>
          <t>Quebra</t>
        </is>
      </c>
      <c r="B25" s="15" t="inlineStr">
        <is>
          <t>Discador</t>
        </is>
      </c>
      <c r="C25" s="15" t="inlineStr">
        <is>
          <t>Voz</t>
        </is>
      </c>
      <c r="D25" s="15" t="inlineStr">
        <is>
          <t>sim</t>
        </is>
      </c>
      <c r="E25" s="16" t="n">
        <v>2</v>
      </c>
      <c r="F25" s="17">
        <f>IFERROR(INDEX(Premissas!$D$4:$D$9,MATCH($AH25,Premissas!$B$4:$B$9,0)),0)</f>
        <v/>
      </c>
      <c r="G25" s="17">
        <f>E25*F25</f>
        <v/>
      </c>
      <c r="H25" s="18">
        <f>IFERROR(INDEX(Premissas!$C$4:$C$9,MATCH($AH25,Premissas!$B$4:$B$9,0)),0)</f>
        <v/>
      </c>
      <c r="I25" s="19">
        <f>E25*H25</f>
        <v/>
      </c>
      <c r="J25" s="18">
        <f>Premissas!$C$11</f>
        <v/>
      </c>
      <c r="K25" s="19">
        <f>I25*J25</f>
        <v/>
      </c>
      <c r="L25" s="17">
        <f>Premissas!$C$12</f>
        <v/>
      </c>
      <c r="M25" s="18">
        <f>Premissas!$C$13</f>
        <v/>
      </c>
      <c r="N25" s="17">
        <f>K25*L25*M25</f>
        <v/>
      </c>
      <c r="O25" s="18">
        <f>Premissas!$C$14</f>
        <v/>
      </c>
      <c r="P25" s="17">
        <f>N25*O25</f>
        <v/>
      </c>
      <c r="Q25" s="20">
        <f>IF(G25&gt;0,P25/G25,0)</f>
        <v/>
      </c>
      <c r="R25" s="15">
        <f>IF(Q25&gt;=Premissas!$C$15,"Aprovação direta",IF(Q25&gt;=Premissas!$C$16,"Aprova com plano","Reprova ou justificar"))</f>
        <v/>
      </c>
      <c r="S25" s="17">
        <f>IF(K25&gt;0,G25/K25,0)</f>
        <v/>
      </c>
      <c r="T25" s="21" t="n">
        <v>2</v>
      </c>
      <c r="U25" s="17" t="n">
        <v>0.7</v>
      </c>
      <c r="V25" s="21" t="n">
        <v>0</v>
      </c>
      <c r="W25" s="21" t="n">
        <v>0</v>
      </c>
      <c r="X25" s="17" t="n">
        <v>0</v>
      </c>
      <c r="Y25" s="17" t="n">
        <v>0</v>
      </c>
      <c r="Z25" s="18">
        <f>IF(T25&gt;0,V25/T25,0)</f>
        <v/>
      </c>
      <c r="AA25" s="17">
        <f>X25*M25</f>
        <v/>
      </c>
      <c r="AB25" s="17">
        <f>AA25*O25</f>
        <v/>
      </c>
      <c r="AC25" s="20">
        <f>IF(U25&gt;0,AB25/U25,0)</f>
        <v/>
      </c>
      <c r="AD25" s="20">
        <f>IF(U25&gt;0,Y25*O25/U25,0)</f>
        <v/>
      </c>
      <c r="AE25" s="18">
        <f>IF(P25&gt;0,AB25/P25-1,0)</f>
        <v/>
      </c>
      <c r="AF25" s="18">
        <f>IF(G25&gt;0,U25/G25-1,0)</f>
        <v/>
      </c>
      <c r="AG25" s="17">
        <f>IF(W25&gt;0,U25/W25,0)</f>
        <v/>
      </c>
      <c r="AH25" t="inlineStr">
        <is>
          <t>discador</t>
        </is>
      </c>
    </row>
    <row r="26">
      <c r="A26" s="3" t="inlineStr">
        <is>
          <t>TOTAL</t>
        </is>
      </c>
      <c r="B26" s="3" t="n"/>
      <c r="C26" s="3" t="n"/>
      <c r="D26" s="3" t="n"/>
      <c r="E26" s="22">
        <f>SUM(E4:E25)</f>
        <v/>
      </c>
      <c r="F26" s="23" t="n"/>
      <c r="G26" s="23">
        <f>SUM(G4:G25)</f>
        <v/>
      </c>
      <c r="H26" s="24" t="n"/>
      <c r="I26" s="25">
        <f>SUM(I4:I25)</f>
        <v/>
      </c>
      <c r="J26" s="24" t="n"/>
      <c r="K26" s="25">
        <f>SUM(K4:K25)</f>
        <v/>
      </c>
      <c r="L26" s="23" t="n"/>
      <c r="M26" s="24" t="n"/>
      <c r="N26" s="23">
        <f>SUM(N4:N25)</f>
        <v/>
      </c>
      <c r="O26" s="24" t="n"/>
      <c r="P26" s="23">
        <f>SUM(P4:P25)</f>
        <v/>
      </c>
      <c r="Q26" s="26">
        <f>IF(G26&gt;0,P26/G26,0)</f>
        <v/>
      </c>
      <c r="R26" s="3">
        <f>IF(Q26&gt;=Premissas!$C$15,"Aprovação direta",IF(Q26&gt;=Premissas!$C$16,"Aprova com plano","Reprova ou justificar"))</f>
        <v/>
      </c>
      <c r="S26" s="23">
        <f>IF(K26&gt;0,G26/K26,0)</f>
        <v/>
      </c>
      <c r="T26" s="22">
        <f>SUM(T4:T25)</f>
        <v/>
      </c>
      <c r="U26" s="23">
        <f>SUM(U4:U25)</f>
        <v/>
      </c>
      <c r="V26" s="22">
        <f>SUM(V4:V25)</f>
        <v/>
      </c>
      <c r="W26" s="22">
        <f>SUM(W4:W25)</f>
        <v/>
      </c>
      <c r="X26" s="23">
        <f>SUM(X4:X25)</f>
        <v/>
      </c>
      <c r="Y26" s="23">
        <f>SUM(Y4:Y25)</f>
        <v/>
      </c>
      <c r="Z26" s="24">
        <f>IF(T26&gt;0,V26/T26,0)</f>
        <v/>
      </c>
      <c r="AA26" s="23">
        <f>SUM(AA4:AA25)</f>
        <v/>
      </c>
      <c r="AB26" s="23">
        <f>SUM(AB4:AB25)</f>
        <v/>
      </c>
      <c r="AC26" s="26">
        <f>IF(U26&gt;0,AB26/U26,0)</f>
        <v/>
      </c>
      <c r="AD26" s="26">
        <f>IF(U26&gt;0,Y26*Premissas!$C$14/U26,0)</f>
        <v/>
      </c>
      <c r="AE26" s="24">
        <f>IF(P26&gt;0,AB26/P26-1,0)</f>
        <v/>
      </c>
      <c r="AF26" s="24">
        <f>IF(G26&gt;0,U26/G26-1,0)</f>
        <v/>
      </c>
      <c r="AG26" s="23">
        <f>IF(W26&gt;0,U26/W26,0)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KPIs por safra e cluster (frentes do playbook)</t>
        </is>
      </c>
    </row>
    <row r="3" ht="45" customHeight="1">
      <c r="A3" s="4" t="inlineStr">
        <is>
          <t>safra</t>
        </is>
      </c>
      <c r="B3" s="4" t="inlineStr">
        <is>
          <t>cluster</t>
        </is>
      </c>
      <c r="C3" s="4" t="inlineStr">
        <is>
          <t>clientes</t>
        </is>
      </c>
      <c r="D3" s="4" t="inlineStr">
        <is>
          <t>% base qualificada</t>
        </is>
      </c>
      <c r="E3" s="4" t="inlineStr">
        <is>
          <t>localizados</t>
        </is>
      </c>
      <c r="F3" s="4" t="inlineStr">
        <is>
          <t>% localizados</t>
        </is>
      </c>
      <c r="G3" s="4" t="inlineStr">
        <is>
          <t>% loc WA</t>
        </is>
      </c>
      <c r="H3" s="4" t="inlineStr">
        <is>
          <t>% loc RC</t>
        </is>
      </c>
      <c r="I3" s="4" t="inlineStr">
        <is>
          <t>% loc AV</t>
        </is>
      </c>
      <c r="J3" s="4" t="inlineStr">
        <is>
          <t>% loc DC</t>
        </is>
      </c>
      <c r="K3" s="4" t="inlineStr">
        <is>
          <t>% loc SM</t>
        </is>
      </c>
      <c r="L3" s="4" t="inlineStr">
        <is>
          <t>% loc EM</t>
        </is>
      </c>
      <c r="M3" s="4" t="inlineStr">
        <is>
          <t>custo localizacao</t>
        </is>
      </c>
      <c r="N3" s="4" t="inlineStr">
        <is>
          <t>custo por cpc descoberto</t>
        </is>
      </c>
      <c r="O3" s="4" t="inlineStr">
        <is>
          <t>ncp para cpa</t>
        </is>
      </c>
      <c r="P3" s="4" t="inlineStr">
        <is>
          <t>cpb recuperados</t>
        </is>
      </c>
      <c r="Q3" s="4" t="inlineStr">
        <is>
          <t>tentativas ate contato</t>
        </is>
      </c>
      <c r="R3" s="4" t="inlineStr">
        <is>
          <t>acordos</t>
        </is>
      </c>
      <c r="S3" s="4" t="inlineStr">
        <is>
          <t>% acordo sobre cpc voz</t>
        </is>
      </c>
      <c r="T3" s="4" t="inlineStr">
        <is>
          <t>% acordo sobre retorno digital</t>
        </is>
      </c>
      <c r="U3" s="4" t="inlineStr">
        <is>
          <t>custo total</t>
        </is>
      </c>
      <c r="V3" s="4" t="inlineStr">
        <is>
          <t>custo por acordo</t>
        </is>
      </c>
      <c r="W3" s="4" t="inlineStr">
        <is>
          <t>% parcelas em dia</t>
        </is>
      </c>
      <c r="X3" s="4" t="inlineStr">
        <is>
          <t>% acordos quitados</t>
        </is>
      </c>
      <c r="Y3" s="4" t="inlineStr">
        <is>
          <t>quebras</t>
        </is>
      </c>
      <c r="Z3" s="4" t="inlineStr">
        <is>
          <t>% regularizacao ate d5</t>
        </is>
      </c>
      <c r="AA3" s="4" t="inlineStr">
        <is>
          <t>% retorna estoque</t>
        </is>
      </c>
    </row>
    <row r="4">
      <c r="A4" s="2" t="inlineStr">
        <is>
          <t>2026-08</t>
        </is>
      </c>
      <c r="B4" s="2" t="inlineStr">
        <is>
          <t>A1</t>
        </is>
      </c>
      <c r="C4" s="2" t="n">
        <v>46</v>
      </c>
      <c r="D4" s="27" t="n">
        <v>0.9782999999999999</v>
      </c>
      <c r="E4" s="2" t="n">
        <v>29</v>
      </c>
      <c r="F4" s="27" t="n">
        <v>0.6304</v>
      </c>
      <c r="G4" s="27" t="n">
        <v>0.1522</v>
      </c>
      <c r="H4" s="27" t="n">
        <v>0.1304</v>
      </c>
      <c r="I4" s="27" t="n">
        <v>0.1522</v>
      </c>
      <c r="J4" s="27" t="n">
        <v>0.08699999999999999</v>
      </c>
      <c r="K4" s="27" t="n">
        <v>0.0435</v>
      </c>
      <c r="L4" s="27" t="n">
        <v>0.06519999999999999</v>
      </c>
      <c r="M4" s="5" t="n">
        <v>125.13</v>
      </c>
      <c r="N4" s="5" t="n">
        <v>4.31</v>
      </c>
      <c r="O4" s="2" t="n">
        <v>20</v>
      </c>
      <c r="P4" s="2" t="n">
        <v>9</v>
      </c>
      <c r="Q4" s="2" t="n">
        <v>7</v>
      </c>
      <c r="R4" s="2" t="n">
        <v>13</v>
      </c>
      <c r="S4" s="27" t="n">
        <v>0.375</v>
      </c>
      <c r="T4" s="27" t="n">
        <v>0.3182</v>
      </c>
      <c r="U4" s="5" t="n">
        <v>171.58</v>
      </c>
      <c r="V4" s="5" t="n">
        <v>13.2</v>
      </c>
      <c r="W4" s="27" t="n">
        <v>1</v>
      </c>
      <c r="X4" s="27" t="n">
        <v>1</v>
      </c>
      <c r="Y4" s="2" t="n">
        <v>0</v>
      </c>
      <c r="Z4" s="27" t="n"/>
      <c r="AA4" s="27" t="n"/>
    </row>
    <row r="5">
      <c r="A5" s="2" t="inlineStr">
        <is>
          <t>2026-08</t>
        </is>
      </c>
      <c r="B5" s="2" t="inlineStr">
        <is>
          <t>A2</t>
        </is>
      </c>
      <c r="C5" s="2" t="n">
        <v>24</v>
      </c>
      <c r="D5" s="27" t="n">
        <v>1</v>
      </c>
      <c r="E5" s="2" t="n">
        <v>12</v>
      </c>
      <c r="F5" s="27" t="n">
        <v>0.5</v>
      </c>
      <c r="G5" s="27" t="n">
        <v>0.125</v>
      </c>
      <c r="H5" s="27" t="n">
        <v>0.2083</v>
      </c>
      <c r="I5" s="27" t="n">
        <v>0.0833</v>
      </c>
      <c r="J5" s="27" t="n">
        <v>0</v>
      </c>
      <c r="K5" s="27" t="n">
        <v>0</v>
      </c>
      <c r="L5" s="27" t="n">
        <v>0.0833</v>
      </c>
      <c r="M5" s="5" t="n">
        <v>63.25</v>
      </c>
      <c r="N5" s="5" t="n">
        <v>5.27</v>
      </c>
      <c r="O5" s="2" t="n">
        <v>9</v>
      </c>
      <c r="P5" s="2" t="n">
        <v>3</v>
      </c>
      <c r="Q5" s="2" t="n">
        <v>7.8</v>
      </c>
      <c r="R5" s="2" t="n">
        <v>8</v>
      </c>
      <c r="S5" s="27" t="n">
        <v>0.4</v>
      </c>
      <c r="T5" s="27" t="n">
        <v>0.6</v>
      </c>
      <c r="U5" s="5" t="n">
        <v>80.89</v>
      </c>
      <c r="V5" s="5" t="n">
        <v>10.11</v>
      </c>
      <c r="W5" s="27" t="n">
        <v>0.75</v>
      </c>
      <c r="X5" s="27" t="n">
        <v>1</v>
      </c>
      <c r="Y5" s="2" t="n">
        <v>1</v>
      </c>
      <c r="Z5" s="27" t="n"/>
      <c r="AA5" s="27" t="n">
        <v>0</v>
      </c>
    </row>
    <row r="6">
      <c r="A6" s="2" t="inlineStr">
        <is>
          <t>2026-08</t>
        </is>
      </c>
      <c r="B6" s="2" t="inlineStr">
        <is>
          <t>A3</t>
        </is>
      </c>
      <c r="C6" s="2" t="n">
        <v>23</v>
      </c>
      <c r="D6" s="27" t="n">
        <v>1</v>
      </c>
      <c r="E6" s="2" t="n">
        <v>11</v>
      </c>
      <c r="F6" s="27" t="n">
        <v>0.4783</v>
      </c>
      <c r="G6" s="27" t="n">
        <v>0.1304</v>
      </c>
      <c r="H6" s="27" t="n">
        <v>0.1304</v>
      </c>
      <c r="I6" s="27" t="n">
        <v>0.1304</v>
      </c>
      <c r="J6" s="27" t="n">
        <v>0.0435</v>
      </c>
      <c r="K6" s="27" t="n">
        <v>0.0435</v>
      </c>
      <c r="L6" s="27" t="n">
        <v>0</v>
      </c>
      <c r="M6" s="5" t="n">
        <v>70.92</v>
      </c>
      <c r="N6" s="5" t="n">
        <v>6.45</v>
      </c>
      <c r="O6" s="2" t="n">
        <v>8</v>
      </c>
      <c r="P6" s="2" t="n">
        <v>6</v>
      </c>
      <c r="Q6" s="2" t="n">
        <v>6.6</v>
      </c>
      <c r="R6" s="2" t="n">
        <v>5</v>
      </c>
      <c r="S6" s="27" t="n">
        <v>0.375</v>
      </c>
      <c r="T6" s="27" t="n">
        <v>0.2222</v>
      </c>
      <c r="U6" s="5" t="n">
        <v>85.01000000000001</v>
      </c>
      <c r="V6" s="5" t="n">
        <v>17</v>
      </c>
      <c r="W6" s="27" t="n">
        <v>1</v>
      </c>
      <c r="X6" s="27" t="n">
        <v>1</v>
      </c>
      <c r="Y6" s="2" t="n">
        <v>0</v>
      </c>
      <c r="Z6" s="27" t="n"/>
      <c r="AA6" s="27" t="n"/>
    </row>
    <row r="7">
      <c r="A7" s="2" t="inlineStr">
        <is>
          <t>2026-08</t>
        </is>
      </c>
      <c r="B7" s="2" t="inlineStr">
        <is>
          <t>B1</t>
        </is>
      </c>
      <c r="C7" s="2" t="n">
        <v>67</v>
      </c>
      <c r="D7" s="27" t="n">
        <v>0.9701</v>
      </c>
      <c r="E7" s="2" t="n">
        <v>36</v>
      </c>
      <c r="F7" s="27" t="n">
        <v>0.5373</v>
      </c>
      <c r="G7" s="27" t="n">
        <v>0.1493</v>
      </c>
      <c r="H7" s="27" t="n">
        <v>0.1194</v>
      </c>
      <c r="I7" s="27" t="n">
        <v>0.0896</v>
      </c>
      <c r="J7" s="27" t="n">
        <v>0.1194</v>
      </c>
      <c r="K7" s="27" t="n">
        <v>0.0448</v>
      </c>
      <c r="L7" s="27" t="n">
        <v>0.0149</v>
      </c>
      <c r="M7" s="5" t="n">
        <v>190.91</v>
      </c>
      <c r="N7" s="5" t="n">
        <v>5.3</v>
      </c>
      <c r="O7" s="2" t="n">
        <v>22</v>
      </c>
      <c r="P7" s="2" t="n">
        <v>15</v>
      </c>
      <c r="Q7" s="2" t="n">
        <v>7.9</v>
      </c>
      <c r="R7" s="2" t="n">
        <v>20</v>
      </c>
      <c r="S7" s="27" t="n">
        <v>0.2778</v>
      </c>
      <c r="T7" s="27" t="n">
        <v>0.4545</v>
      </c>
      <c r="U7" s="5" t="n">
        <v>241.76</v>
      </c>
      <c r="V7" s="5" t="n">
        <v>12.09</v>
      </c>
      <c r="W7" s="27" t="n">
        <v>0.9091</v>
      </c>
      <c r="X7" s="27" t="n">
        <v>1</v>
      </c>
      <c r="Y7" s="2" t="n">
        <v>1</v>
      </c>
      <c r="Z7" s="27" t="n">
        <v>0</v>
      </c>
      <c r="AA7" s="27" t="n">
        <v>1</v>
      </c>
    </row>
    <row r="8">
      <c r="A8" s="2" t="inlineStr">
        <is>
          <t>2026-08</t>
        </is>
      </c>
      <c r="B8" s="2" t="inlineStr">
        <is>
          <t>B2</t>
        </is>
      </c>
      <c r="C8" s="2" t="n">
        <v>29</v>
      </c>
      <c r="D8" s="27" t="n">
        <v>1</v>
      </c>
      <c r="E8" s="2" t="n">
        <v>18</v>
      </c>
      <c r="F8" s="27" t="n">
        <v>0.6207</v>
      </c>
      <c r="G8" s="27" t="n">
        <v>0.1379</v>
      </c>
      <c r="H8" s="27" t="n">
        <v>0.1379</v>
      </c>
      <c r="I8" s="27" t="n">
        <v>0.1034</v>
      </c>
      <c r="J8" s="27" t="n">
        <v>0.1034</v>
      </c>
      <c r="K8" s="27" t="n">
        <v>0.1034</v>
      </c>
      <c r="L8" s="27" t="n">
        <v>0.0345</v>
      </c>
      <c r="M8" s="5" t="n">
        <v>80.26000000000001</v>
      </c>
      <c r="N8" s="5" t="n">
        <v>4.46</v>
      </c>
      <c r="O8" s="2" t="n">
        <v>10</v>
      </c>
      <c r="P8" s="2" t="n">
        <v>10</v>
      </c>
      <c r="Q8" s="2" t="n">
        <v>5.9</v>
      </c>
      <c r="R8" s="2" t="n">
        <v>8</v>
      </c>
      <c r="S8" s="27" t="n">
        <v>0.125</v>
      </c>
      <c r="T8" s="27" t="n">
        <v>0.35</v>
      </c>
      <c r="U8" s="5" t="n">
        <v>119.23</v>
      </c>
      <c r="V8" s="5" t="n">
        <v>14.9</v>
      </c>
      <c r="W8" s="27" t="n">
        <v>1</v>
      </c>
      <c r="X8" s="27" t="n">
        <v>1</v>
      </c>
      <c r="Y8" s="2" t="n">
        <v>0</v>
      </c>
      <c r="Z8" s="27" t="n"/>
      <c r="AA8" s="27" t="n"/>
    </row>
    <row r="9">
      <c r="A9" s="2" t="inlineStr">
        <is>
          <t>2026-08</t>
        </is>
      </c>
      <c r="B9" s="2" t="inlineStr">
        <is>
          <t>B3</t>
        </is>
      </c>
      <c r="C9" s="2" t="n">
        <v>35</v>
      </c>
      <c r="D9" s="27" t="n">
        <v>1</v>
      </c>
      <c r="E9" s="2" t="n">
        <v>16</v>
      </c>
      <c r="F9" s="27" t="n">
        <v>0.4571</v>
      </c>
      <c r="G9" s="27" t="n">
        <v>0.1714</v>
      </c>
      <c r="H9" s="27" t="n">
        <v>0.1714</v>
      </c>
      <c r="I9" s="27" t="n">
        <v>0</v>
      </c>
      <c r="J9" s="27" t="n">
        <v>0</v>
      </c>
      <c r="K9" s="27" t="n">
        <v>0.0857</v>
      </c>
      <c r="L9" s="27" t="n">
        <v>0.0286</v>
      </c>
      <c r="M9" s="5" t="n">
        <v>37.8</v>
      </c>
      <c r="N9" s="5" t="n">
        <v>2.36</v>
      </c>
      <c r="O9" s="2" t="n">
        <v>13</v>
      </c>
      <c r="P9" s="2" t="n">
        <v>3</v>
      </c>
      <c r="Q9" s="2" t="n">
        <v>5</v>
      </c>
      <c r="R9" s="2" t="n">
        <v>9</v>
      </c>
      <c r="S9" s="27" t="n"/>
      <c r="T9" s="27" t="n">
        <v>0.4737</v>
      </c>
      <c r="U9" s="5" t="n">
        <v>47.88</v>
      </c>
      <c r="V9" s="5" t="n">
        <v>5.32</v>
      </c>
      <c r="W9" s="27" t="n">
        <v>1</v>
      </c>
      <c r="X9" s="27" t="n"/>
      <c r="Y9" s="2" t="n">
        <v>0</v>
      </c>
      <c r="Z9" s="27" t="n"/>
      <c r="AA9" s="27" t="n"/>
    </row>
    <row r="10">
      <c r="A10" s="2" t="inlineStr">
        <is>
          <t>2026-08</t>
        </is>
      </c>
      <c r="B10" s="2" t="inlineStr">
        <is>
          <t>M1</t>
        </is>
      </c>
      <c r="C10" s="2" t="n">
        <v>69</v>
      </c>
      <c r="D10" s="27" t="n">
        <v>0.9565</v>
      </c>
      <c r="E10" s="2" t="n">
        <v>40</v>
      </c>
      <c r="F10" s="27" t="n">
        <v>0.5797</v>
      </c>
      <c r="G10" s="27" t="n">
        <v>0.1739</v>
      </c>
      <c r="H10" s="27" t="n">
        <v>0.1449</v>
      </c>
      <c r="I10" s="27" t="n">
        <v>0.1594</v>
      </c>
      <c r="J10" s="27" t="n">
        <v>0.08699999999999999</v>
      </c>
      <c r="K10" s="27" t="n">
        <v>0.0145</v>
      </c>
      <c r="L10" s="27" t="n">
        <v>0</v>
      </c>
      <c r="M10" s="5" t="n">
        <v>189.5</v>
      </c>
      <c r="N10" s="5" t="n">
        <v>4.74</v>
      </c>
      <c r="O10" s="2" t="n">
        <v>22</v>
      </c>
      <c r="P10" s="2" t="n">
        <v>29</v>
      </c>
      <c r="Q10" s="2" t="n">
        <v>6.2</v>
      </c>
      <c r="R10" s="2" t="n">
        <v>19</v>
      </c>
      <c r="S10" s="27" t="n">
        <v>0.3077</v>
      </c>
      <c r="T10" s="27" t="n">
        <v>0.2558</v>
      </c>
      <c r="U10" s="5" t="n">
        <v>271.51</v>
      </c>
      <c r="V10" s="5" t="n">
        <v>14.29</v>
      </c>
      <c r="W10" s="27" t="n">
        <v>1</v>
      </c>
      <c r="X10" s="27" t="n">
        <v>1</v>
      </c>
      <c r="Y10" s="2" t="n">
        <v>0</v>
      </c>
      <c r="Z10" s="27" t="n"/>
      <c r="AA10" s="27" t="n"/>
    </row>
    <row r="11">
      <c r="A11" s="2" t="inlineStr">
        <is>
          <t>2026-08</t>
        </is>
      </c>
      <c r="B11" s="2" t="inlineStr">
        <is>
          <t>M2</t>
        </is>
      </c>
      <c r="C11" s="2" t="n">
        <v>51</v>
      </c>
      <c r="D11" s="27" t="n">
        <v>0.9608</v>
      </c>
      <c r="E11" s="2" t="n">
        <v>27</v>
      </c>
      <c r="F11" s="27" t="n">
        <v>0.5294</v>
      </c>
      <c r="G11" s="27" t="n">
        <v>0.0588</v>
      </c>
      <c r="H11" s="27" t="n">
        <v>0.1373</v>
      </c>
      <c r="I11" s="27" t="n">
        <v>0.1176</v>
      </c>
      <c r="J11" s="27" t="n">
        <v>0.1961</v>
      </c>
      <c r="K11" s="27" t="n">
        <v>0.0196</v>
      </c>
      <c r="L11" s="27" t="n">
        <v>0</v>
      </c>
      <c r="M11" s="5" t="n">
        <v>127.32</v>
      </c>
      <c r="N11" s="5" t="n">
        <v>4.72</v>
      </c>
      <c r="O11" s="2" t="n">
        <v>15</v>
      </c>
      <c r="P11" s="2" t="n">
        <v>17</v>
      </c>
      <c r="Q11" s="2" t="n">
        <v>6.6</v>
      </c>
      <c r="R11" s="2" t="n">
        <v>13</v>
      </c>
      <c r="S11" s="27" t="n">
        <v>0.2174</v>
      </c>
      <c r="T11" s="27" t="n">
        <v>0.381</v>
      </c>
      <c r="U11" s="5" t="n">
        <v>178.16</v>
      </c>
      <c r="V11" s="5" t="n">
        <v>13.7</v>
      </c>
      <c r="W11" s="27" t="n">
        <v>1</v>
      </c>
      <c r="X11" s="27" t="n">
        <v>1</v>
      </c>
      <c r="Y11" s="2" t="n">
        <v>0</v>
      </c>
      <c r="Z11" s="27" t="n"/>
      <c r="AA11" s="27" t="n"/>
    </row>
    <row r="12">
      <c r="A12" s="2" t="inlineStr">
        <is>
          <t>2026-08</t>
        </is>
      </c>
      <c r="B12" s="2" t="inlineStr">
        <is>
          <t>M3</t>
        </is>
      </c>
      <c r="C12" s="2" t="n">
        <v>42</v>
      </c>
      <c r="D12" s="27" t="n">
        <v>1</v>
      </c>
      <c r="E12" s="2" t="n">
        <v>24</v>
      </c>
      <c r="F12" s="27" t="n">
        <v>0.5714</v>
      </c>
      <c r="G12" s="27" t="n">
        <v>0.0476</v>
      </c>
      <c r="H12" s="27" t="n">
        <v>0.1905</v>
      </c>
      <c r="I12" s="27" t="n">
        <v>0.2381</v>
      </c>
      <c r="J12" s="27" t="n">
        <v>0.09520000000000001</v>
      </c>
      <c r="K12" s="27" t="n">
        <v>0</v>
      </c>
      <c r="L12" s="27" t="n">
        <v>0</v>
      </c>
      <c r="M12" s="5" t="n">
        <v>102.21</v>
      </c>
      <c r="N12" s="5" t="n">
        <v>4.26</v>
      </c>
      <c r="O12" s="2" t="n">
        <v>11</v>
      </c>
      <c r="P12" s="2" t="n">
        <v>14</v>
      </c>
      <c r="Q12" s="2" t="n">
        <v>5.3</v>
      </c>
      <c r="R12" s="2" t="n">
        <v>9</v>
      </c>
      <c r="S12" s="27" t="n">
        <v>0.2609</v>
      </c>
      <c r="T12" s="27" t="n">
        <v>0.2</v>
      </c>
      <c r="U12" s="5" t="n">
        <v>163.36</v>
      </c>
      <c r="V12" s="5" t="n">
        <v>18.15</v>
      </c>
      <c r="W12" s="27" t="n">
        <v>1</v>
      </c>
      <c r="X12" s="27" t="n">
        <v>1</v>
      </c>
      <c r="Y12" s="2" t="n">
        <v>0</v>
      </c>
      <c r="Z12" s="27" t="n"/>
      <c r="AA12" s="27" t="n"/>
    </row>
    <row r="13">
      <c r="A13" s="2" t="inlineStr">
        <is>
          <t>2026-09</t>
        </is>
      </c>
      <c r="B13" s="2" t="inlineStr">
        <is>
          <t>A1</t>
        </is>
      </c>
      <c r="C13" s="2" t="n">
        <v>3</v>
      </c>
      <c r="D13" s="27" t="n">
        <v>1</v>
      </c>
      <c r="E13" s="2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0</v>
      </c>
      <c r="L13" s="27" t="n">
        <v>0</v>
      </c>
      <c r="M13" s="5" t="n">
        <v>7.9</v>
      </c>
      <c r="N13" s="5" t="n"/>
      <c r="O13" s="2" t="n">
        <v>0</v>
      </c>
      <c r="P13" s="2" t="n">
        <v>0</v>
      </c>
      <c r="Q13" s="2" t="n"/>
      <c r="R13" s="2" t="n">
        <v>0</v>
      </c>
      <c r="S13" s="27" t="n"/>
      <c r="T13" s="27" t="n"/>
      <c r="U13" s="5" t="n">
        <v>7.9</v>
      </c>
      <c r="V13" s="5" t="n"/>
      <c r="W13" s="27" t="n"/>
      <c r="X13" s="27" t="n"/>
      <c r="Y13" s="2" t="n">
        <v>0</v>
      </c>
      <c r="Z13" s="27" t="n"/>
      <c r="AA13" s="27" t="n"/>
    </row>
    <row r="14">
      <c r="A14" s="2" t="inlineStr">
        <is>
          <t>2026-09</t>
        </is>
      </c>
      <c r="B14" s="2" t="inlineStr">
        <is>
          <t>B1</t>
        </is>
      </c>
      <c r="C14" s="2" t="n">
        <v>4</v>
      </c>
      <c r="D14" s="27" t="n">
        <v>1</v>
      </c>
      <c r="E14" s="2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5" t="n">
        <v>8.07</v>
      </c>
      <c r="N14" s="5" t="n"/>
      <c r="O14" s="2" t="n">
        <v>0</v>
      </c>
      <c r="P14" s="2" t="n">
        <v>0</v>
      </c>
      <c r="Q14" s="2" t="n"/>
      <c r="R14" s="2" t="n">
        <v>0</v>
      </c>
      <c r="S14" s="27" t="n"/>
      <c r="T14" s="27" t="n"/>
      <c r="U14" s="5" t="n">
        <v>8.07</v>
      </c>
      <c r="V14" s="5" t="n"/>
      <c r="W14" s="27" t="n"/>
      <c r="X14" s="27" t="n"/>
      <c r="Y14" s="2" t="n">
        <v>0</v>
      </c>
      <c r="Z14" s="27" t="n"/>
      <c r="AA14" s="27" t="n"/>
    </row>
    <row r="15">
      <c r="A15" s="2" t="inlineStr">
        <is>
          <t>2026-09</t>
        </is>
      </c>
      <c r="B15" s="2" t="inlineStr">
        <is>
          <t>B2</t>
        </is>
      </c>
      <c r="C15" s="2" t="n">
        <v>1</v>
      </c>
      <c r="D15" s="27" t="n">
        <v>1</v>
      </c>
      <c r="E15" s="2" t="n">
        <v>1</v>
      </c>
      <c r="F15" s="27" t="n">
        <v>1</v>
      </c>
      <c r="G15" s="27" t="n">
        <v>0</v>
      </c>
      <c r="H15" s="27" t="n">
        <v>1</v>
      </c>
      <c r="I15" s="27" t="n">
        <v>0</v>
      </c>
      <c r="J15" s="27" t="n">
        <v>0</v>
      </c>
      <c r="K15" s="27" t="n">
        <v>0</v>
      </c>
      <c r="L15" s="27" t="n">
        <v>0</v>
      </c>
      <c r="M15" s="5" t="n">
        <v>0.12</v>
      </c>
      <c r="N15" s="5" t="n">
        <v>0.12</v>
      </c>
      <c r="O15" s="2" t="n">
        <v>0</v>
      </c>
      <c r="P15" s="2" t="n">
        <v>0</v>
      </c>
      <c r="Q15" s="2" t="n">
        <v>1</v>
      </c>
      <c r="R15" s="2" t="n">
        <v>1</v>
      </c>
      <c r="S15" s="27" t="n"/>
      <c r="T15" s="27" t="n">
        <v>1</v>
      </c>
      <c r="U15" s="5" t="n">
        <v>0.36</v>
      </c>
      <c r="V15" s="5" t="n">
        <v>0.36</v>
      </c>
      <c r="W15" s="27" t="n"/>
      <c r="X15" s="27" t="n"/>
      <c r="Y15" s="2" t="n">
        <v>0</v>
      </c>
      <c r="Z15" s="27" t="n"/>
      <c r="AA15" s="27" t="n"/>
    </row>
    <row r="16">
      <c r="A16" s="2" t="inlineStr">
        <is>
          <t>2026-09</t>
        </is>
      </c>
      <c r="B16" s="2" t="inlineStr">
        <is>
          <t>B3</t>
        </is>
      </c>
      <c r="C16" s="2" t="n">
        <v>1</v>
      </c>
      <c r="D16" s="27" t="n">
        <v>1</v>
      </c>
      <c r="E16" s="2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5" t="n">
        <v>1.06</v>
      </c>
      <c r="N16" s="5" t="n"/>
      <c r="O16" s="2" t="n">
        <v>0</v>
      </c>
      <c r="P16" s="2" t="n">
        <v>0</v>
      </c>
      <c r="Q16" s="2" t="n"/>
      <c r="R16" s="2" t="n">
        <v>0</v>
      </c>
      <c r="S16" s="27" t="n"/>
      <c r="T16" s="27" t="n"/>
      <c r="U16" s="5" t="n">
        <v>1.06</v>
      </c>
      <c r="V16" s="5" t="n"/>
      <c r="W16" s="27" t="n"/>
      <c r="X16" s="27" t="n"/>
      <c r="Y16" s="2" t="n">
        <v>0</v>
      </c>
      <c r="Z16" s="27" t="n"/>
      <c r="AA16" s="27" t="n"/>
    </row>
    <row r="17">
      <c r="A17" s="2" t="inlineStr">
        <is>
          <t>2026-09</t>
        </is>
      </c>
      <c r="B17" s="2" t="inlineStr">
        <is>
          <t>M1</t>
        </is>
      </c>
      <c r="C17" s="2" t="n">
        <v>2</v>
      </c>
      <c r="D17" s="27" t="n">
        <v>1</v>
      </c>
      <c r="E17" s="2" t="n">
        <v>1</v>
      </c>
      <c r="F17" s="27" t="n">
        <v>0.5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0.5</v>
      </c>
      <c r="L17" s="27" t="n">
        <v>0</v>
      </c>
      <c r="M17" s="5" t="n">
        <v>4.13</v>
      </c>
      <c r="N17" s="5" t="n">
        <v>4.13</v>
      </c>
      <c r="O17" s="2" t="n">
        <v>1</v>
      </c>
      <c r="P17" s="2" t="n">
        <v>0</v>
      </c>
      <c r="Q17" s="2" t="n">
        <v>9</v>
      </c>
      <c r="R17" s="2" t="n">
        <v>0</v>
      </c>
      <c r="S17" s="27" t="n"/>
      <c r="T17" s="27" t="n">
        <v>0</v>
      </c>
      <c r="U17" s="5" t="n">
        <v>4.13</v>
      </c>
      <c r="V17" s="5" t="n"/>
      <c r="W17" s="27" t="n"/>
      <c r="X17" s="27" t="n"/>
      <c r="Y17" s="2" t="n">
        <v>0</v>
      </c>
      <c r="Z17" s="27" t="n"/>
      <c r="AA17" s="27" t="n"/>
    </row>
    <row r="18">
      <c r="A18" s="2" t="inlineStr">
        <is>
          <t>2026-09</t>
        </is>
      </c>
      <c r="B18" s="2" t="inlineStr">
        <is>
          <t>M3</t>
        </is>
      </c>
      <c r="C18" s="2" t="n">
        <v>3</v>
      </c>
      <c r="D18" s="27" t="n">
        <v>1</v>
      </c>
      <c r="E18" s="2" t="n">
        <v>2</v>
      </c>
      <c r="F18" s="27" t="n">
        <v>0.6667</v>
      </c>
      <c r="G18" s="27" t="n">
        <v>0</v>
      </c>
      <c r="H18" s="27" t="n">
        <v>0.6667</v>
      </c>
      <c r="I18" s="27" t="n">
        <v>0</v>
      </c>
      <c r="J18" s="27" t="n">
        <v>0</v>
      </c>
      <c r="K18" s="27" t="n">
        <v>0</v>
      </c>
      <c r="L18" s="27" t="n">
        <v>0</v>
      </c>
      <c r="M18" s="5" t="n">
        <v>2.48</v>
      </c>
      <c r="N18" s="5" t="n">
        <v>1.24</v>
      </c>
      <c r="O18" s="2" t="n">
        <v>0</v>
      </c>
      <c r="P18" s="2" t="n">
        <v>0</v>
      </c>
      <c r="Q18" s="2" t="n">
        <v>1</v>
      </c>
      <c r="R18" s="2" t="n">
        <v>1</v>
      </c>
      <c r="S18" s="27" t="n"/>
      <c r="T18" s="27" t="n">
        <v>0.5</v>
      </c>
      <c r="U18" s="5" t="n">
        <v>5.14</v>
      </c>
      <c r="V18" s="5" t="n">
        <v>5.14</v>
      </c>
      <c r="W18" s="27" t="n">
        <v>1</v>
      </c>
      <c r="X18" s="27" t="n">
        <v>1</v>
      </c>
      <c r="Y18" s="2" t="n">
        <v>0</v>
      </c>
      <c r="Z18" s="27" t="n"/>
      <c r="AA18" s="27" t="n"/>
    </row>
    <row r="19">
      <c r="A19" s="3" t="inlineStr">
        <is>
          <t>TOTAL</t>
        </is>
      </c>
      <c r="B19" s="3" t="inlineStr"/>
      <c r="C19" s="3" t="n">
        <v>400</v>
      </c>
      <c r="D19" s="24" t="n">
        <v>0.98</v>
      </c>
      <c r="E19" s="3" t="n">
        <v>217</v>
      </c>
      <c r="F19" s="24" t="n">
        <v>0.5425</v>
      </c>
      <c r="G19" s="24" t="n">
        <v>0.125</v>
      </c>
      <c r="H19" s="24" t="n">
        <v>0.15</v>
      </c>
      <c r="I19" s="24" t="n">
        <v>0.12</v>
      </c>
      <c r="J19" s="24" t="n">
        <v>0.09</v>
      </c>
      <c r="K19" s="24" t="n">
        <v>0.0375</v>
      </c>
      <c r="L19" s="24" t="n">
        <v>0.02</v>
      </c>
      <c r="M19" s="23" t="n">
        <v>1011.06</v>
      </c>
      <c r="N19" s="23" t="n">
        <v>4.66</v>
      </c>
      <c r="O19" s="3" t="n">
        <v>131</v>
      </c>
      <c r="P19" s="3" t="n">
        <v>106</v>
      </c>
      <c r="Q19" s="3" t="n">
        <v>6.5</v>
      </c>
      <c r="R19" s="3" t="n">
        <v>106</v>
      </c>
      <c r="S19" s="24" t="n">
        <v>0.2835</v>
      </c>
      <c r="T19" s="24" t="n">
        <v>0.3571</v>
      </c>
      <c r="U19" s="23" t="n">
        <v>1386.04</v>
      </c>
      <c r="V19" s="23" t="n">
        <v>13.08</v>
      </c>
      <c r="W19" s="24" t="n">
        <v>0.9714</v>
      </c>
      <c r="X19" s="24" t="n">
        <v>1</v>
      </c>
      <c r="Y19" s="3" t="n">
        <v>2</v>
      </c>
      <c r="Z19" s="24" t="n">
        <v>0</v>
      </c>
      <c r="AA19" s="2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Migração de estados no período (de → para)</t>
        </is>
      </c>
    </row>
    <row r="3">
      <c r="A3" s="4" t="inlineStr">
        <is>
          <t>de \ para</t>
        </is>
      </c>
      <c r="B3" s="4" t="inlineStr">
        <is>
          <t>LOC</t>
        </is>
      </c>
      <c r="C3" s="4" t="inlineStr">
        <is>
          <t>CPA</t>
        </is>
      </c>
      <c r="D3" s="4" t="inlineStr">
        <is>
          <t>CPB</t>
        </is>
      </c>
      <c r="E3" s="4" t="inlineStr">
        <is>
          <t>NCP</t>
        </is>
      </c>
      <c r="F3" s="4" t="inlineStr">
        <is>
          <t>PRE</t>
        </is>
      </c>
      <c r="G3" s="4" t="inlineStr">
        <is>
          <t>COL</t>
        </is>
      </c>
      <c r="H3" s="4" t="inlineStr">
        <is>
          <t>QBR</t>
        </is>
      </c>
      <c r="I3" s="4" t="inlineStr">
        <is>
          <t>LIQ</t>
        </is>
      </c>
      <c r="J3" s="4" t="inlineStr">
        <is>
          <t>BLQ</t>
        </is>
      </c>
      <c r="K3" s="4" t="inlineStr">
        <is>
          <t>Total</t>
        </is>
      </c>
    </row>
    <row r="4">
      <c r="A4" s="3" t="inlineStr">
        <is>
          <t>ENTRADA</t>
        </is>
      </c>
      <c r="B4" s="8" t="n">
        <v>400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9">
        <f>SUM(B4:J4)</f>
        <v/>
      </c>
    </row>
    <row r="5">
      <c r="A5" s="3" t="inlineStr">
        <is>
          <t>LOC</t>
        </is>
      </c>
      <c r="B5" s="8" t="n">
        <v>0</v>
      </c>
      <c r="C5" s="8" t="n">
        <v>86</v>
      </c>
      <c r="D5" s="8" t="n">
        <v>0</v>
      </c>
      <c r="E5" s="8" t="n">
        <v>310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4</v>
      </c>
      <c r="K5" s="9">
        <f>SUM(B5:J5)</f>
        <v/>
      </c>
    </row>
    <row r="6">
      <c r="A6" s="3" t="inlineStr">
        <is>
          <t>CPA</t>
        </is>
      </c>
      <c r="B6" s="8" t="n">
        <v>0</v>
      </c>
      <c r="C6" s="8" t="n">
        <v>0</v>
      </c>
      <c r="D6" s="8" t="n">
        <v>203</v>
      </c>
      <c r="E6" s="8" t="n">
        <v>0</v>
      </c>
      <c r="F6" s="8" t="n">
        <v>0</v>
      </c>
      <c r="G6" s="8" t="n">
        <v>106</v>
      </c>
      <c r="H6" s="8" t="n">
        <v>0</v>
      </c>
      <c r="I6" s="8" t="n">
        <v>0</v>
      </c>
      <c r="J6" s="8" t="n">
        <v>0</v>
      </c>
      <c r="K6" s="9">
        <f>SUM(B6:J6)</f>
        <v/>
      </c>
    </row>
    <row r="7">
      <c r="A7" s="3" t="inlineStr">
        <is>
          <t>CPB</t>
        </is>
      </c>
      <c r="B7" s="8" t="n">
        <v>0</v>
      </c>
      <c r="C7" s="8" t="n">
        <v>106</v>
      </c>
      <c r="D7" s="8" t="n">
        <v>0</v>
      </c>
      <c r="E7" s="8" t="n">
        <v>5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9">
        <f>SUM(B7:J7)</f>
        <v/>
      </c>
    </row>
    <row r="8">
      <c r="A8" s="3" t="inlineStr">
        <is>
          <t>NCP</t>
        </is>
      </c>
      <c r="B8" s="8" t="n">
        <v>0</v>
      </c>
      <c r="C8" s="8" t="n">
        <v>131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9">
        <f>SUM(B8:J8)</f>
        <v/>
      </c>
    </row>
    <row r="9">
      <c r="A9" s="3" t="inlineStr">
        <is>
          <t>PRE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42</v>
      </c>
      <c r="H9" s="8" t="n">
        <v>2</v>
      </c>
      <c r="I9" s="8" t="n">
        <v>12</v>
      </c>
      <c r="J9" s="8" t="n">
        <v>0</v>
      </c>
      <c r="K9" s="9">
        <f>SUM(B9:J9)</f>
        <v/>
      </c>
    </row>
    <row r="10">
      <c r="A10" s="3" t="inlineStr">
        <is>
          <t>COL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65</v>
      </c>
      <c r="G10" s="8" t="n">
        <v>0</v>
      </c>
      <c r="H10" s="8" t="n">
        <v>0</v>
      </c>
      <c r="I10" s="8" t="n">
        <v>4</v>
      </c>
      <c r="J10" s="8" t="n">
        <v>0</v>
      </c>
      <c r="K10" s="9">
        <f>SUM(B10:J10)</f>
        <v/>
      </c>
    </row>
    <row r="11">
      <c r="A11" s="3" t="inlineStr">
        <is>
          <t>QBR</t>
        </is>
      </c>
      <c r="B11" s="8" t="n">
        <v>0</v>
      </c>
      <c r="C11" s="8" t="n">
        <v>1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9">
        <f>SUM(B11:J11)</f>
        <v/>
      </c>
    </row>
    <row r="12">
      <c r="A12" s="3" t="inlineStr">
        <is>
          <t>LIQ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9">
        <f>SUM(B12:J12)</f>
        <v/>
      </c>
    </row>
    <row r="13">
      <c r="A13" s="3" t="inlineStr">
        <is>
          <t>BLQ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9">
        <f>SUM(B13:J13)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Benchmarks observados (recalibram as premissas do mês seguinte)</t>
        </is>
      </c>
    </row>
    <row r="3">
      <c r="A3" s="4" t="inlineStr">
        <is>
          <t>Régua</t>
        </is>
      </c>
      <c r="B3" s="4" t="inlineStr">
        <is>
          <t>Canal</t>
        </is>
      </c>
      <c r="C3" s="4" t="inlineStr">
        <is>
          <t>Tentativas</t>
        </is>
      </c>
      <c r="D3" s="4" t="inlineStr">
        <is>
          <t>Contatos</t>
        </is>
      </c>
      <c r="E3" s="4" t="inlineStr">
        <is>
          <t>Custo</t>
        </is>
      </c>
      <c r="F3" s="4" t="inlineStr">
        <is>
          <t>Taxa de contato</t>
        </is>
      </c>
      <c r="G3" s="4" t="inlineStr">
        <is>
          <t>Custo por contato</t>
        </is>
      </c>
      <c r="H3" s="4" t="inlineStr">
        <is>
          <t>% acordo s/ contato</t>
        </is>
      </c>
    </row>
    <row r="4">
      <c r="A4" s="2" t="inlineStr">
        <is>
          <t>Localização</t>
        </is>
      </c>
      <c r="B4" s="2" t="inlineStr">
        <is>
          <t>WhatsApp</t>
        </is>
      </c>
      <c r="C4" s="8" t="n">
        <v>154</v>
      </c>
      <c r="D4" s="8" t="n">
        <v>18</v>
      </c>
      <c r="E4" s="5" t="n">
        <v>46.2</v>
      </c>
      <c r="F4" s="27" t="n">
        <v>0.1169</v>
      </c>
      <c r="G4" s="5" t="n">
        <v>2.57</v>
      </c>
      <c r="H4" s="27" t="n">
        <v>0.1111</v>
      </c>
    </row>
    <row r="5">
      <c r="A5" s="2" t="inlineStr">
        <is>
          <t>Localização</t>
        </is>
      </c>
      <c r="B5" s="2" t="inlineStr">
        <is>
          <t>RCS</t>
        </is>
      </c>
      <c r="C5" s="8" t="n">
        <v>547</v>
      </c>
      <c r="D5" s="8" t="n">
        <v>23</v>
      </c>
      <c r="E5" s="5" t="n">
        <v>65.64</v>
      </c>
      <c r="F5" s="27" t="n">
        <v>0.042</v>
      </c>
      <c r="G5" s="5" t="n">
        <v>2.85</v>
      </c>
      <c r="H5" s="27" t="n">
        <v>0.4348</v>
      </c>
    </row>
    <row r="6">
      <c r="A6" s="2" t="inlineStr">
        <is>
          <t>Localização</t>
        </is>
      </c>
      <c r="B6" s="2" t="inlineStr">
        <is>
          <t>Agente virtual</t>
        </is>
      </c>
      <c r="C6" s="8" t="n">
        <v>671</v>
      </c>
      <c r="D6" s="8" t="n">
        <v>18</v>
      </c>
      <c r="E6" s="5" t="n">
        <v>80.52</v>
      </c>
      <c r="F6" s="27" t="n">
        <v>0.0268</v>
      </c>
      <c r="G6" s="5" t="n">
        <v>4.47</v>
      </c>
      <c r="H6" s="27" t="n">
        <v>0.0556</v>
      </c>
    </row>
    <row r="7">
      <c r="A7" s="2" t="inlineStr">
        <is>
          <t>Localização</t>
        </is>
      </c>
      <c r="B7" s="2" t="inlineStr">
        <is>
          <t>Discador</t>
        </is>
      </c>
      <c r="C7" s="8" t="n">
        <v>618</v>
      </c>
      <c r="D7" s="8" t="n">
        <v>18</v>
      </c>
      <c r="E7" s="5" t="n">
        <v>216.3</v>
      </c>
      <c r="F7" s="27" t="n">
        <v>0.0291</v>
      </c>
      <c r="G7" s="5" t="n">
        <v>12.02</v>
      </c>
      <c r="H7" s="27" t="n">
        <v>0.2222</v>
      </c>
    </row>
    <row r="8">
      <c r="A8" s="2" t="inlineStr">
        <is>
          <t>Localização</t>
        </is>
      </c>
      <c r="B8" s="2" t="inlineStr">
        <is>
          <t>SMS</t>
        </is>
      </c>
      <c r="C8" s="8" t="n">
        <v>441</v>
      </c>
      <c r="D8" s="8" t="n">
        <v>5</v>
      </c>
      <c r="E8" s="5" t="n">
        <v>30.87</v>
      </c>
      <c r="F8" s="27" t="n">
        <v>0.0113</v>
      </c>
      <c r="G8" s="5" t="n">
        <v>6.17</v>
      </c>
      <c r="H8" s="27" t="n">
        <v>0.4</v>
      </c>
    </row>
    <row r="9">
      <c r="A9" s="2" t="inlineStr">
        <is>
          <t>Localização</t>
        </is>
      </c>
      <c r="B9" s="2" t="inlineStr">
        <is>
          <t>E-mail</t>
        </is>
      </c>
      <c r="C9" s="8" t="n">
        <v>256</v>
      </c>
      <c r="D9" s="8" t="n">
        <v>4</v>
      </c>
      <c r="E9" s="5" t="n">
        <v>2.56</v>
      </c>
      <c r="F9" s="27" t="n">
        <v>0.0156</v>
      </c>
      <c r="G9" s="5" t="n">
        <v>0.64</v>
      </c>
      <c r="H9" s="27" t="n">
        <v>0</v>
      </c>
    </row>
    <row r="10">
      <c r="A10" s="2" t="inlineStr">
        <is>
          <t>Giro (Não CPC)</t>
        </is>
      </c>
      <c r="B10" s="2" t="inlineStr">
        <is>
          <t>WhatsApp</t>
        </is>
      </c>
      <c r="C10" s="8" t="n">
        <v>227</v>
      </c>
      <c r="D10" s="8" t="n">
        <v>32</v>
      </c>
      <c r="E10" s="5" t="n">
        <v>68.09999999999999</v>
      </c>
      <c r="F10" s="27" t="n">
        <v>0.141</v>
      </c>
      <c r="G10" s="5" t="n">
        <v>2.13</v>
      </c>
      <c r="H10" s="27" t="n">
        <v>0.1875</v>
      </c>
    </row>
    <row r="11">
      <c r="A11" s="2" t="inlineStr">
        <is>
          <t>Giro (Não CPC)</t>
        </is>
      </c>
      <c r="B11" s="2" t="inlineStr">
        <is>
          <t>RCS</t>
        </is>
      </c>
      <c r="C11" s="8" t="n">
        <v>814</v>
      </c>
      <c r="D11" s="8" t="n">
        <v>37</v>
      </c>
      <c r="E11" s="5" t="n">
        <v>97.68000000000001</v>
      </c>
      <c r="F11" s="27" t="n">
        <v>0.0455</v>
      </c>
      <c r="G11" s="5" t="n">
        <v>2.64</v>
      </c>
      <c r="H11" s="27" t="n">
        <v>0.1622</v>
      </c>
    </row>
    <row r="12">
      <c r="A12" s="2" t="inlineStr">
        <is>
          <t>Giro (Não CPC)</t>
        </is>
      </c>
      <c r="B12" s="2" t="inlineStr">
        <is>
          <t>Agente virtual</t>
        </is>
      </c>
      <c r="C12" s="8" t="n">
        <v>815</v>
      </c>
      <c r="D12" s="8" t="n">
        <v>30</v>
      </c>
      <c r="E12" s="5" t="n">
        <v>97.8</v>
      </c>
      <c r="F12" s="27" t="n">
        <v>0.0368</v>
      </c>
      <c r="G12" s="5" t="n">
        <v>3.26</v>
      </c>
      <c r="H12" s="27" t="n">
        <v>0.3333</v>
      </c>
    </row>
    <row r="13">
      <c r="A13" s="2" t="inlineStr">
        <is>
          <t>Giro (Não CPC)</t>
        </is>
      </c>
      <c r="B13" s="2" t="inlineStr">
        <is>
          <t>Discador</t>
        </is>
      </c>
      <c r="C13" s="8" t="n">
        <v>745</v>
      </c>
      <c r="D13" s="8" t="n">
        <v>18</v>
      </c>
      <c r="E13" s="5" t="n">
        <v>260.75</v>
      </c>
      <c r="F13" s="27" t="n">
        <v>0.0242</v>
      </c>
      <c r="G13" s="5" t="n">
        <v>14.49</v>
      </c>
      <c r="H13" s="27" t="n">
        <v>0.3889</v>
      </c>
    </row>
    <row r="14">
      <c r="A14" s="2" t="inlineStr">
        <is>
          <t>Giro (Não CPC)</t>
        </is>
      </c>
      <c r="B14" s="2" t="inlineStr">
        <is>
          <t>SMS</t>
        </is>
      </c>
      <c r="C14" s="8" t="n">
        <v>604</v>
      </c>
      <c r="D14" s="8" t="n">
        <v>10</v>
      </c>
      <c r="E14" s="5" t="n">
        <v>42.28</v>
      </c>
      <c r="F14" s="27" t="n">
        <v>0.0166</v>
      </c>
      <c r="G14" s="5" t="n">
        <v>4.23</v>
      </c>
      <c r="H14" s="27" t="n">
        <v>0.5</v>
      </c>
    </row>
    <row r="15">
      <c r="A15" s="2" t="inlineStr">
        <is>
          <t>Giro (Não CPC)</t>
        </is>
      </c>
      <c r="B15" s="2" t="inlineStr">
        <is>
          <t>E-mail</t>
        </is>
      </c>
      <c r="C15" s="8" t="n">
        <v>236</v>
      </c>
      <c r="D15" s="8" t="n">
        <v>5</v>
      </c>
      <c r="E15" s="5" t="n">
        <v>2.36</v>
      </c>
      <c r="F15" s="27" t="n">
        <v>0.0212</v>
      </c>
      <c r="G15" s="5" t="n">
        <v>0.47</v>
      </c>
      <c r="H15" s="27" t="n">
        <v>0.2</v>
      </c>
    </row>
    <row r="16">
      <c r="A16" s="2" t="inlineStr">
        <is>
          <t>CPC / rotação</t>
        </is>
      </c>
      <c r="B16" s="2" t="inlineStr">
        <is>
          <t>WhatsApp</t>
        </is>
      </c>
      <c r="C16" s="8" t="n">
        <v>205</v>
      </c>
      <c r="D16" s="8" t="n">
        <v>61</v>
      </c>
      <c r="E16" s="5" t="n">
        <v>61.5</v>
      </c>
      <c r="F16" s="27" t="n">
        <v>0.2976</v>
      </c>
      <c r="G16" s="5" t="n">
        <v>1.01</v>
      </c>
      <c r="H16" s="27" t="n">
        <v>0.3607</v>
      </c>
    </row>
    <row r="17">
      <c r="A17" s="2" t="inlineStr">
        <is>
          <t>CPC / rotação</t>
        </is>
      </c>
      <c r="B17" s="2" t="inlineStr">
        <is>
          <t>RCS</t>
        </is>
      </c>
      <c r="C17" s="8" t="n">
        <v>205</v>
      </c>
      <c r="D17" s="8" t="n">
        <v>36</v>
      </c>
      <c r="E17" s="5" t="n">
        <v>24.6</v>
      </c>
      <c r="F17" s="27" t="n">
        <v>0.1756</v>
      </c>
      <c r="G17" s="5" t="n">
        <v>0.68</v>
      </c>
      <c r="H17" s="27" t="n">
        <v>0.4167</v>
      </c>
    </row>
    <row r="18">
      <c r="A18" s="2" t="inlineStr">
        <is>
          <t>CPC / rotação</t>
        </is>
      </c>
      <c r="B18" s="2" t="inlineStr">
        <is>
          <t>Agente virtual</t>
        </is>
      </c>
      <c r="C18" s="8" t="n">
        <v>365</v>
      </c>
      <c r="D18" s="8" t="n">
        <v>26</v>
      </c>
      <c r="E18" s="5" t="n">
        <v>43.8</v>
      </c>
      <c r="F18" s="27" t="n">
        <v>0.0712</v>
      </c>
      <c r="G18" s="5" t="n">
        <v>1.68</v>
      </c>
      <c r="H18" s="27" t="n">
        <v>0.2692</v>
      </c>
    </row>
    <row r="19">
      <c r="A19" s="2" t="inlineStr">
        <is>
          <t>CPC / rotação</t>
        </is>
      </c>
      <c r="B19" s="2" t="inlineStr">
        <is>
          <t>Discador</t>
        </is>
      </c>
      <c r="C19" s="8" t="n">
        <v>623</v>
      </c>
      <c r="D19" s="8" t="n">
        <v>26</v>
      </c>
      <c r="E19" s="5" t="n">
        <v>218.05</v>
      </c>
      <c r="F19" s="27" t="n">
        <v>0.0417</v>
      </c>
      <c r="G19" s="5" t="n">
        <v>8.390000000000001</v>
      </c>
      <c r="H19" s="27" t="n">
        <v>0.2692</v>
      </c>
    </row>
    <row r="20">
      <c r="A20" s="2" t="inlineStr">
        <is>
          <t>CPC / rotação</t>
        </is>
      </c>
      <c r="B20" s="2" t="inlineStr">
        <is>
          <t>SMS</t>
        </is>
      </c>
      <c r="C20" s="8" t="n">
        <v>172</v>
      </c>
      <c r="D20" s="8" t="n">
        <v>5</v>
      </c>
      <c r="E20" s="5" t="n">
        <v>12.04</v>
      </c>
      <c r="F20" s="27" t="n">
        <v>0.0291</v>
      </c>
      <c r="G20" s="5" t="n">
        <v>2.41</v>
      </c>
      <c r="H20" s="27" t="n">
        <v>0.2</v>
      </c>
    </row>
    <row r="21">
      <c r="A21" s="2" t="inlineStr">
        <is>
          <t>CPC / rotação</t>
        </is>
      </c>
      <c r="B21" s="2" t="inlineStr">
        <is>
          <t>E-mail</t>
        </is>
      </c>
      <c r="C21" s="8" t="n">
        <v>117</v>
      </c>
      <c r="D21" s="8" t="n">
        <v>2</v>
      </c>
      <c r="E21" s="5" t="n">
        <v>1.17</v>
      </c>
      <c r="F21" s="27" t="n">
        <v>0.0171</v>
      </c>
      <c r="G21" s="5" t="n">
        <v>0.58</v>
      </c>
      <c r="H21" s="27" t="n">
        <v>0</v>
      </c>
    </row>
    <row r="22">
      <c r="A22" s="2" t="inlineStr">
        <is>
          <t>Preventivo / colchão</t>
        </is>
      </c>
      <c r="B22" s="2" t="inlineStr">
        <is>
          <t>WhatsApp</t>
        </is>
      </c>
      <c r="C22" s="8" t="n">
        <v>21</v>
      </c>
      <c r="D22" s="8" t="n">
        <v>4</v>
      </c>
      <c r="E22" s="5" t="n">
        <v>6.3</v>
      </c>
      <c r="F22" s="27" t="n">
        <v>0.1905</v>
      </c>
      <c r="G22" s="5" t="n">
        <v>1.57</v>
      </c>
      <c r="H22" s="27" t="n">
        <v>0</v>
      </c>
    </row>
    <row r="23">
      <c r="A23" s="2" t="inlineStr">
        <is>
          <t>Preventivo / colchão</t>
        </is>
      </c>
      <c r="B23" s="2" t="inlineStr">
        <is>
          <t>RCS</t>
        </is>
      </c>
      <c r="C23" s="8" t="n">
        <v>51</v>
      </c>
      <c r="D23" s="8" t="n">
        <v>9</v>
      </c>
      <c r="E23" s="5" t="n">
        <v>6.12</v>
      </c>
      <c r="F23" s="27" t="n">
        <v>0.1765</v>
      </c>
      <c r="G23" s="5" t="n">
        <v>0.68</v>
      </c>
      <c r="H23" s="27" t="n">
        <v>0</v>
      </c>
    </row>
    <row r="24">
      <c r="A24" s="2" t="inlineStr">
        <is>
          <t>Preventivo / colchão</t>
        </is>
      </c>
      <c r="B24" s="2" t="inlineStr">
        <is>
          <t>Discador</t>
        </is>
      </c>
      <c r="C24" s="8" t="n">
        <v>2</v>
      </c>
      <c r="D24" s="8" t="n">
        <v>0</v>
      </c>
      <c r="E24" s="5" t="n">
        <v>0.7</v>
      </c>
      <c r="F24" s="27" t="n">
        <v>0</v>
      </c>
      <c r="G24" s="5" t="n"/>
      <c r="H24" s="27" t="n"/>
    </row>
    <row r="25">
      <c r="A25" s="2" t="inlineStr">
        <is>
          <t>Quebra</t>
        </is>
      </c>
      <c r="B25" s="2" t="inlineStr">
        <is>
          <t>Discador</t>
        </is>
      </c>
      <c r="C25" s="8" t="n">
        <v>2</v>
      </c>
      <c r="D25" s="8" t="n">
        <v>0</v>
      </c>
      <c r="E25" s="5" t="n">
        <v>0.7</v>
      </c>
      <c r="F25" s="27" t="n">
        <v>0</v>
      </c>
      <c r="G25" s="5" t="n"/>
      <c r="H25" s="27" t="n"/>
    </row>
    <row r="27">
      <c r="A27" s="3" t="inlineStr">
        <is>
          <t>Sugestão de ordem de rotação (menor custo por contato nas réguas massivas)</t>
        </is>
      </c>
    </row>
    <row r="28">
      <c r="A28" t="inlineStr">
        <is>
          <t>Sugestão para o comitê: a ordem vigente em regras/regua.json só muda por decisão do comitê.</t>
        </is>
      </c>
    </row>
    <row r="29">
      <c r="A29" s="4" t="inlineStr">
        <is>
          <t>Posição sugerida</t>
        </is>
      </c>
      <c r="B29" s="4" t="inlineStr">
        <is>
          <t>Canal</t>
        </is>
      </c>
      <c r="C29" s="4" t="inlineStr">
        <is>
          <t>Posição atual</t>
        </is>
      </c>
      <c r="D29" s="4" t="inlineStr">
        <is>
          <t>Tentativas</t>
        </is>
      </c>
      <c r="E29" s="4" t="inlineStr">
        <is>
          <t>Contatos</t>
        </is>
      </c>
      <c r="F29" s="4" t="inlineStr">
        <is>
          <t>Taxa de contato</t>
        </is>
      </c>
      <c r="G29" s="4" t="inlineStr">
        <is>
          <t>Custo por contato</t>
        </is>
      </c>
    </row>
    <row r="30">
      <c r="A30" s="2" t="n">
        <v>1</v>
      </c>
      <c r="B30" s="2" t="inlineStr">
        <is>
          <t>WhatsApp</t>
        </is>
      </c>
      <c r="C30" s="2" t="n">
        <v>1</v>
      </c>
      <c r="D30" s="8" t="n">
        <v>586</v>
      </c>
      <c r="E30" s="8" t="n">
        <v>111</v>
      </c>
      <c r="F30" s="27" t="n">
        <v>0.1894</v>
      </c>
      <c r="G30" s="5" t="n">
        <v>1.58</v>
      </c>
    </row>
    <row r="31">
      <c r="A31" s="2" t="n">
        <v>2</v>
      </c>
      <c r="B31" s="2" t="inlineStr">
        <is>
          <t>RCS</t>
        </is>
      </c>
      <c r="C31" s="2" t="n">
        <v>2</v>
      </c>
      <c r="D31" s="8" t="n">
        <v>1566</v>
      </c>
      <c r="E31" s="8" t="n">
        <v>96</v>
      </c>
      <c r="F31" s="27" t="n">
        <v>0.0613</v>
      </c>
      <c r="G31" s="5" t="n">
        <v>1.96</v>
      </c>
    </row>
    <row r="32">
      <c r="A32" s="2" t="n">
        <v>3</v>
      </c>
      <c r="B32" s="2" t="inlineStr">
        <is>
          <t>Agente virtual</t>
        </is>
      </c>
      <c r="C32" s="2" t="n">
        <v>3</v>
      </c>
      <c r="D32" s="8" t="n">
        <v>1851</v>
      </c>
      <c r="E32" s="8" t="n">
        <v>74</v>
      </c>
      <c r="F32" s="27" t="n">
        <v>0.04</v>
      </c>
      <c r="G32" s="5" t="n">
        <v>3</v>
      </c>
    </row>
    <row r="33">
      <c r="A33" s="3" t="n">
        <v>4</v>
      </c>
      <c r="B33" s="3" t="inlineStr">
        <is>
          <t>SMS</t>
        </is>
      </c>
      <c r="C33" s="3" t="n">
        <v>5</v>
      </c>
      <c r="D33" s="22" t="n">
        <v>1217</v>
      </c>
      <c r="E33" s="22" t="n">
        <v>20</v>
      </c>
      <c r="F33" s="24" t="n">
        <v>0.0164</v>
      </c>
      <c r="G33" s="23" t="n">
        <v>4.26</v>
      </c>
    </row>
    <row r="34">
      <c r="A34" s="3" t="n">
        <v>5</v>
      </c>
      <c r="B34" s="3" t="inlineStr">
        <is>
          <t>Discador</t>
        </is>
      </c>
      <c r="C34" s="3" t="n">
        <v>4</v>
      </c>
      <c r="D34" s="22" t="n">
        <v>1986</v>
      </c>
      <c r="E34" s="22" t="n">
        <v>62</v>
      </c>
      <c r="F34" s="24" t="n">
        <v>0.0312</v>
      </c>
      <c r="G34" s="23" t="n">
        <v>11.21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2026-09-25T13:33:58Z</dcterms:created>
  <dcterms:modified xsi:type="dcterms:W3CDTF">2026-09-25T13:33:58Z</dcterms:modified>
</cp:coreProperties>
</file>